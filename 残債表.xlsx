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条件" sheetId="1" r:id="rId5"/>
    <sheet state="visible" name="返済表" sheetId="2" r:id="rId6"/>
    <sheet state="visible" name="一括返済" sheetId="3" r:id="rId7"/>
  </sheets>
  <definedNames/>
  <calcPr/>
</workbook>
</file>

<file path=xl/sharedStrings.xml><?xml version="1.0" encoding="utf-8"?>
<sst xmlns="http://schemas.openxmlformats.org/spreadsheetml/2006/main" count="23" uniqueCount="23">
  <si>
    <t>借入額</t>
  </si>
  <si>
    <t>ローン年数</t>
  </si>
  <si>
    <t>年利</t>
  </si>
  <si>
    <t>返済回数（月）</t>
  </si>
  <si>
    <t>月利</t>
  </si>
  <si>
    <t>毎月返済額</t>
  </si>
  <si>
    <t>回数</t>
  </si>
  <si>
    <t>返済額</t>
  </si>
  <si>
    <t>利息</t>
  </si>
  <si>
    <t>元金</t>
  </si>
  <si>
    <t>残高</t>
  </si>
  <si>
    <t>累計支払額</t>
  </si>
  <si>
    <t>下取り</t>
  </si>
  <si>
    <t>一括返済月</t>
  </si>
  <si>
    <t>一括返済時残高</t>
  </si>
  <si>
    <t>←一括返済月からプラス1の値をEのあとに入れる</t>
  </si>
  <si>
    <t>手数料</t>
  </si>
  <si>
    <t>通常完済時総支払額</t>
  </si>
  <si>
    <t>回までの支払額</t>
  </si>
  <si>
    <t>年目完済時総支払額</t>
  </si>
  <si>
    <t>戻り利息(払わなかった利息)</t>
  </si>
  <si>
    <t>手数料込み戻り利息</t>
  </si>
  <si>
    <t>残債と下取りの差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</si>
</sst>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¥-411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165" xfId="0" applyAlignment="1" applyFont="1" applyNumberFormat="1">
      <alignment readingOrder="0"/>
    </xf>
    <xf borderId="0" fillId="3" fontId="2" numFmtId="0" xfId="0" applyFont="1"/>
    <xf borderId="0" fillId="3" fontId="1" numFmtId="1" xfId="0" applyFont="1" applyNumberFormat="1"/>
    <xf borderId="0" fillId="0" fontId="2" numFmtId="1" xfId="0" applyFont="1" applyNumberFormat="1"/>
    <xf borderId="0" fillId="3" fontId="1" numFmtId="0" xfId="0" applyFont="1"/>
    <xf borderId="0" fillId="2" fontId="2" numFmtId="165" xfId="0" applyFont="1" applyNumberFormat="1"/>
    <xf borderId="0" fillId="2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3.5"/>
  </cols>
  <sheetData>
    <row r="1" ht="20.25" customHeight="1">
      <c r="A1" s="1" t="s">
        <v>0</v>
      </c>
      <c r="B1" s="2">
        <v>3000000.0</v>
      </c>
      <c r="C1" s="3" t="s">
        <v>1</v>
      </c>
      <c r="D1" s="2">
        <v>10.0</v>
      </c>
    </row>
    <row r="2" ht="20.25" customHeight="1">
      <c r="A2" s="1" t="s">
        <v>2</v>
      </c>
      <c r="B2" s="4">
        <v>0.049</v>
      </c>
      <c r="D2" s="5">
        <f>12*D1</f>
        <v>120</v>
      </c>
    </row>
    <row r="3" ht="20.25" customHeight="1">
      <c r="A3" s="1" t="s">
        <v>3</v>
      </c>
      <c r="B3" s="3">
        <f>D2</f>
        <v>120</v>
      </c>
    </row>
    <row r="4" ht="20.25" customHeight="1">
      <c r="A4" s="1" t="s">
        <v>4</v>
      </c>
      <c r="B4" s="5">
        <f>B2/12</f>
        <v>0.004083333333</v>
      </c>
    </row>
    <row r="5" ht="20.25" customHeight="1">
      <c r="A5" s="1" t="s">
        <v>5</v>
      </c>
      <c r="B5" s="6">
        <f>-PMT(B4,B3,B1)</f>
        <v>31673.21864</v>
      </c>
    </row>
    <row r="6" ht="20.25" customHeight="1">
      <c r="A6" s="7"/>
    </row>
    <row r="7" ht="20.25" customHeight="1">
      <c r="A7" s="7"/>
    </row>
    <row r="8" ht="20.25" customHeight="1">
      <c r="A8" s="7"/>
    </row>
    <row r="9" ht="20.25" customHeight="1">
      <c r="A9" s="7"/>
    </row>
    <row r="10" ht="20.25" customHeight="1">
      <c r="A10" s="7"/>
    </row>
    <row r="11" ht="20.25" customHeight="1">
      <c r="A11" s="7"/>
    </row>
    <row r="12" ht="20.25" customHeight="1">
      <c r="A12" s="7"/>
    </row>
    <row r="13" ht="20.25" customHeight="1">
      <c r="A13" s="7"/>
    </row>
    <row r="14" ht="20.25" customHeight="1">
      <c r="A14" s="7"/>
    </row>
    <row r="15" ht="20.25" customHeight="1">
      <c r="A15" s="7"/>
    </row>
    <row r="16" ht="20.25" customHeight="1">
      <c r="A16" s="7"/>
    </row>
    <row r="17" ht="20.25" customHeight="1">
      <c r="A17" s="7"/>
    </row>
    <row r="18" ht="20.25" customHeight="1">
      <c r="A18" s="7"/>
    </row>
    <row r="19" ht="20.25" customHeight="1">
      <c r="A19" s="7"/>
    </row>
    <row r="20" ht="20.25" customHeight="1">
      <c r="A20" s="7"/>
    </row>
    <row r="21" ht="20.25" customHeight="1">
      <c r="A21" s="7"/>
    </row>
    <row r="22" ht="20.25" customHeight="1">
      <c r="A22" s="7"/>
    </row>
    <row r="23" ht="20.25" customHeight="1">
      <c r="A23" s="7"/>
    </row>
    <row r="24" ht="20.25" customHeight="1">
      <c r="A24" s="7"/>
    </row>
    <row r="25" ht="20.25" customHeight="1">
      <c r="A25" s="7"/>
    </row>
    <row r="26" ht="20.25" customHeight="1">
      <c r="A26" s="7"/>
    </row>
    <row r="27" ht="20.25" customHeight="1">
      <c r="A27" s="7"/>
    </row>
    <row r="28" ht="20.25" customHeight="1">
      <c r="A28" s="7"/>
    </row>
    <row r="29" ht="20.25" customHeight="1">
      <c r="A29" s="7"/>
    </row>
    <row r="30" ht="20.25" customHeight="1">
      <c r="A30" s="7"/>
    </row>
    <row r="31" ht="20.25" customHeight="1">
      <c r="A31" s="7"/>
    </row>
    <row r="32" ht="20.25" customHeight="1">
      <c r="A32" s="7"/>
    </row>
    <row r="33" ht="20.25" customHeight="1">
      <c r="A33" s="7"/>
    </row>
    <row r="34" ht="20.25" customHeight="1">
      <c r="A34" s="7"/>
    </row>
    <row r="35" ht="20.25" customHeight="1">
      <c r="A35" s="7"/>
    </row>
    <row r="36" ht="20.25" customHeight="1">
      <c r="A36" s="7"/>
    </row>
    <row r="37" ht="20.25" customHeight="1">
      <c r="A37" s="7"/>
    </row>
    <row r="38" ht="20.25" customHeight="1">
      <c r="A38" s="7"/>
    </row>
    <row r="39" ht="20.25" customHeight="1">
      <c r="A39" s="7"/>
    </row>
    <row r="40" ht="20.25" customHeight="1">
      <c r="A40" s="7"/>
    </row>
    <row r="41" ht="20.25" customHeight="1">
      <c r="A41" s="7"/>
    </row>
    <row r="42" ht="20.25" customHeight="1">
      <c r="A42" s="7"/>
    </row>
    <row r="43" ht="20.25" customHeight="1">
      <c r="A43" s="7"/>
    </row>
    <row r="44" ht="20.25" customHeight="1">
      <c r="A44" s="7"/>
    </row>
    <row r="45" ht="20.25" customHeight="1">
      <c r="A45" s="7"/>
    </row>
    <row r="46" ht="20.25" customHeight="1">
      <c r="A46" s="7"/>
    </row>
    <row r="47" ht="20.25" customHeight="1">
      <c r="A47" s="7"/>
    </row>
    <row r="48" ht="20.25" customHeight="1">
      <c r="A48" s="7"/>
    </row>
    <row r="49" ht="20.25" customHeight="1">
      <c r="A49" s="7"/>
    </row>
    <row r="50" ht="20.25" customHeight="1">
      <c r="A50" s="7"/>
    </row>
    <row r="51" ht="20.25" customHeight="1">
      <c r="A51" s="7"/>
    </row>
    <row r="52" ht="20.25" customHeight="1">
      <c r="A52" s="7"/>
    </row>
    <row r="53" ht="20.25" customHeight="1">
      <c r="A53" s="7"/>
    </row>
    <row r="54" ht="20.25" customHeight="1">
      <c r="A54" s="7"/>
    </row>
    <row r="55" ht="20.25" customHeight="1">
      <c r="A55" s="7"/>
    </row>
    <row r="56" ht="20.25" customHeight="1">
      <c r="A56" s="7"/>
    </row>
    <row r="57" ht="20.25" customHeight="1">
      <c r="A57" s="7"/>
    </row>
    <row r="58" ht="20.25" customHeight="1">
      <c r="A58" s="7"/>
    </row>
    <row r="59" ht="20.25" customHeight="1">
      <c r="A59" s="7"/>
    </row>
    <row r="60" ht="20.25" customHeight="1">
      <c r="A60" s="7"/>
    </row>
    <row r="61" ht="20.25" customHeight="1">
      <c r="A61" s="7"/>
    </row>
    <row r="62" ht="20.25" customHeight="1">
      <c r="A62" s="7"/>
    </row>
    <row r="63" ht="20.25" customHeight="1">
      <c r="A63" s="7"/>
    </row>
    <row r="64" ht="20.25" customHeight="1">
      <c r="A64" s="7"/>
    </row>
    <row r="65" ht="20.25" customHeight="1">
      <c r="A65" s="7"/>
    </row>
    <row r="66" ht="20.25" customHeight="1">
      <c r="A66" s="7"/>
    </row>
    <row r="67" ht="20.25" customHeight="1">
      <c r="A67" s="7"/>
    </row>
    <row r="68" ht="20.25" customHeight="1">
      <c r="A68" s="7"/>
    </row>
    <row r="69" ht="20.25" customHeight="1">
      <c r="A69" s="7"/>
    </row>
    <row r="70" ht="20.25" customHeight="1">
      <c r="A70" s="7"/>
    </row>
    <row r="71" ht="20.25" customHeight="1">
      <c r="A71" s="7"/>
    </row>
    <row r="72" ht="20.25" customHeight="1">
      <c r="A72" s="7"/>
    </row>
    <row r="73" ht="20.25" customHeight="1">
      <c r="A73" s="7"/>
    </row>
    <row r="74" ht="20.25" customHeight="1">
      <c r="A74" s="7"/>
    </row>
    <row r="75" ht="20.25" customHeight="1">
      <c r="A75" s="7"/>
    </row>
    <row r="76" ht="20.25" customHeight="1">
      <c r="A76" s="7"/>
    </row>
    <row r="77" ht="20.25" customHeight="1">
      <c r="A77" s="7"/>
    </row>
    <row r="78" ht="20.25" customHeight="1">
      <c r="A78" s="7"/>
    </row>
    <row r="79" ht="20.25" customHeight="1">
      <c r="A79" s="7"/>
    </row>
    <row r="80" ht="20.25" customHeight="1">
      <c r="A80" s="7"/>
    </row>
    <row r="81" ht="20.25" customHeight="1">
      <c r="A81" s="7"/>
    </row>
    <row r="82" ht="20.25" customHeight="1">
      <c r="A82" s="7"/>
    </row>
    <row r="83" ht="20.25" customHeight="1">
      <c r="A83" s="7"/>
    </row>
    <row r="84" ht="20.25" customHeight="1">
      <c r="A84" s="7"/>
    </row>
    <row r="85" ht="20.25" customHeight="1">
      <c r="A85" s="7"/>
    </row>
    <row r="86" ht="20.25" customHeight="1">
      <c r="A86" s="7"/>
    </row>
    <row r="87" ht="20.25" customHeight="1">
      <c r="A87" s="7"/>
    </row>
    <row r="88" ht="20.25" customHeight="1">
      <c r="A88" s="7"/>
    </row>
    <row r="89" ht="20.25" customHeight="1">
      <c r="A89" s="7"/>
    </row>
    <row r="90" ht="20.25" customHeight="1">
      <c r="A90" s="7"/>
    </row>
    <row r="91" ht="20.25" customHeight="1">
      <c r="A91" s="7"/>
    </row>
    <row r="92" ht="20.25" customHeight="1">
      <c r="A92" s="7"/>
    </row>
    <row r="93" ht="20.25" customHeight="1">
      <c r="A93" s="7"/>
    </row>
    <row r="94" ht="20.25" customHeight="1">
      <c r="A94" s="7"/>
    </row>
    <row r="95" ht="20.25" customHeight="1">
      <c r="A95" s="7"/>
    </row>
    <row r="96" ht="20.25" customHeight="1">
      <c r="A96" s="7"/>
    </row>
    <row r="97" ht="20.25" customHeight="1">
      <c r="A97" s="7"/>
    </row>
    <row r="98" ht="20.25" customHeight="1">
      <c r="A98" s="7"/>
    </row>
    <row r="99" ht="20.25" customHeight="1">
      <c r="A99" s="7"/>
    </row>
    <row r="100" ht="20.25" customHeight="1">
      <c r="A100" s="7"/>
    </row>
    <row r="101" ht="20.25" customHeight="1">
      <c r="A101" s="7"/>
    </row>
    <row r="102" ht="20.25" customHeight="1">
      <c r="A102" s="7"/>
    </row>
    <row r="103" ht="20.25" customHeight="1">
      <c r="A103" s="7"/>
    </row>
    <row r="104" ht="20.25" customHeight="1">
      <c r="A104" s="7"/>
    </row>
    <row r="105" ht="20.25" customHeight="1">
      <c r="A105" s="7"/>
    </row>
    <row r="106" ht="20.25" customHeight="1">
      <c r="A106" s="7"/>
    </row>
    <row r="107" ht="20.25" customHeight="1">
      <c r="A107" s="7"/>
    </row>
    <row r="108" ht="20.25" customHeight="1">
      <c r="A108" s="7"/>
    </row>
    <row r="109" ht="20.25" customHeight="1">
      <c r="A109" s="7"/>
    </row>
    <row r="110" ht="20.25" customHeight="1">
      <c r="A110" s="7"/>
    </row>
    <row r="111" ht="20.25" customHeight="1">
      <c r="A111" s="7"/>
    </row>
    <row r="112" ht="20.25" customHeight="1">
      <c r="A112" s="7"/>
    </row>
    <row r="113" ht="20.25" customHeight="1">
      <c r="A113" s="7"/>
    </row>
    <row r="114" ht="20.25" customHeight="1">
      <c r="A114" s="7"/>
    </row>
    <row r="115" ht="20.25" customHeight="1">
      <c r="A115" s="7"/>
    </row>
    <row r="116" ht="20.25" customHeight="1">
      <c r="A116" s="7"/>
    </row>
    <row r="117" ht="20.25" customHeight="1">
      <c r="A117" s="7"/>
    </row>
    <row r="118" ht="20.25" customHeight="1">
      <c r="A118" s="7"/>
    </row>
    <row r="119" ht="20.25" customHeight="1">
      <c r="A119" s="7"/>
    </row>
    <row r="120" ht="20.25" customHeight="1">
      <c r="A120" s="7"/>
    </row>
    <row r="121" ht="20.25" customHeight="1">
      <c r="A121" s="7"/>
    </row>
    <row r="122" ht="20.25" customHeight="1">
      <c r="A122" s="7"/>
    </row>
    <row r="123" ht="20.25" customHeight="1">
      <c r="A123" s="7"/>
    </row>
    <row r="124" ht="20.25" customHeight="1">
      <c r="A124" s="7"/>
    </row>
    <row r="125" ht="20.25" customHeight="1">
      <c r="A125" s="7"/>
    </row>
    <row r="126" ht="20.25" customHeight="1">
      <c r="A126" s="7"/>
    </row>
    <row r="127" ht="20.25" customHeight="1">
      <c r="A127" s="7"/>
    </row>
    <row r="128" ht="20.25" customHeight="1">
      <c r="A128" s="7"/>
    </row>
    <row r="129" ht="20.25" customHeight="1">
      <c r="A129" s="7"/>
    </row>
    <row r="130" ht="20.25" customHeight="1">
      <c r="A130" s="7"/>
    </row>
    <row r="131" ht="20.25" customHeight="1">
      <c r="A131" s="7"/>
    </row>
    <row r="132" ht="20.25" customHeight="1">
      <c r="A132" s="7"/>
    </row>
    <row r="133" ht="20.25" customHeight="1">
      <c r="A133" s="7"/>
    </row>
    <row r="134" ht="20.25" customHeight="1">
      <c r="A134" s="7"/>
    </row>
    <row r="135" ht="20.25" customHeight="1">
      <c r="A135" s="7"/>
    </row>
    <row r="136" ht="20.25" customHeight="1">
      <c r="A136" s="7"/>
    </row>
    <row r="137" ht="20.25" customHeight="1">
      <c r="A137" s="7"/>
    </row>
    <row r="138" ht="20.25" customHeight="1">
      <c r="A138" s="7"/>
    </row>
    <row r="139" ht="20.25" customHeight="1">
      <c r="A139" s="7"/>
    </row>
    <row r="140" ht="20.25" customHeight="1">
      <c r="A140" s="7"/>
    </row>
    <row r="141" ht="20.25" customHeight="1">
      <c r="A141" s="7"/>
    </row>
    <row r="142" ht="20.25" customHeight="1">
      <c r="A142" s="7"/>
    </row>
    <row r="143" ht="20.25" customHeight="1">
      <c r="A143" s="7"/>
    </row>
    <row r="144" ht="20.25" customHeight="1">
      <c r="A144" s="7"/>
    </row>
    <row r="145" ht="20.25" customHeight="1">
      <c r="A145" s="7"/>
    </row>
    <row r="146" ht="20.25" customHeight="1">
      <c r="A146" s="7"/>
    </row>
    <row r="147" ht="20.25" customHeight="1">
      <c r="A147" s="7"/>
    </row>
    <row r="148" ht="20.25" customHeight="1">
      <c r="A148" s="7"/>
    </row>
    <row r="149" ht="20.25" customHeight="1">
      <c r="A149" s="7"/>
    </row>
    <row r="150" ht="20.25" customHeight="1">
      <c r="A150" s="7"/>
    </row>
    <row r="151" ht="20.25" customHeight="1">
      <c r="A151" s="7"/>
    </row>
    <row r="152" ht="20.25" customHeight="1">
      <c r="A152" s="7"/>
    </row>
    <row r="153" ht="20.25" customHeight="1">
      <c r="A153" s="7"/>
    </row>
    <row r="154" ht="20.25" customHeight="1">
      <c r="A154" s="7"/>
    </row>
    <row r="155" ht="20.25" customHeight="1">
      <c r="A155" s="7"/>
    </row>
    <row r="156" ht="20.25" customHeight="1">
      <c r="A156" s="7"/>
    </row>
    <row r="157" ht="20.25" customHeight="1">
      <c r="A157" s="7"/>
    </row>
    <row r="158" ht="20.25" customHeight="1">
      <c r="A158" s="7"/>
    </row>
    <row r="159" ht="20.25" customHeight="1">
      <c r="A159" s="7"/>
    </row>
    <row r="160" ht="20.25" customHeight="1">
      <c r="A160" s="7"/>
    </row>
    <row r="161" ht="20.25" customHeight="1">
      <c r="A161" s="7"/>
    </row>
    <row r="162" ht="20.25" customHeight="1">
      <c r="A162" s="7"/>
    </row>
    <row r="163" ht="20.25" customHeight="1">
      <c r="A163" s="7"/>
    </row>
    <row r="164" ht="20.25" customHeight="1">
      <c r="A164" s="7"/>
    </row>
    <row r="165" ht="20.25" customHeight="1">
      <c r="A165" s="7"/>
    </row>
    <row r="166" ht="20.25" customHeight="1">
      <c r="A166" s="7"/>
    </row>
    <row r="167" ht="20.25" customHeight="1">
      <c r="A167" s="7"/>
    </row>
    <row r="168" ht="20.25" customHeight="1">
      <c r="A168" s="7"/>
    </row>
    <row r="169" ht="20.25" customHeight="1">
      <c r="A169" s="7"/>
    </row>
    <row r="170" ht="20.25" customHeight="1">
      <c r="A170" s="7"/>
    </row>
    <row r="171" ht="20.25" customHeight="1">
      <c r="A171" s="7"/>
    </row>
    <row r="172" ht="20.25" customHeight="1">
      <c r="A172" s="7"/>
    </row>
    <row r="173" ht="20.25" customHeight="1">
      <c r="A173" s="7"/>
    </row>
    <row r="174" ht="20.25" customHeight="1">
      <c r="A174" s="7"/>
    </row>
    <row r="175" ht="20.25" customHeight="1">
      <c r="A175" s="7"/>
    </row>
    <row r="176" ht="20.25" customHeight="1">
      <c r="A176" s="7"/>
    </row>
    <row r="177" ht="20.25" customHeight="1">
      <c r="A177" s="7"/>
    </row>
    <row r="178" ht="20.25" customHeight="1">
      <c r="A178" s="7"/>
    </row>
    <row r="179" ht="20.25" customHeight="1">
      <c r="A179" s="7"/>
    </row>
    <row r="180" ht="20.25" customHeight="1">
      <c r="A180" s="7"/>
    </row>
    <row r="181" ht="20.25" customHeight="1">
      <c r="A181" s="7"/>
    </row>
    <row r="182" ht="20.25" customHeight="1">
      <c r="A182" s="7"/>
    </row>
    <row r="183" ht="20.25" customHeight="1">
      <c r="A183" s="7"/>
    </row>
    <row r="184" ht="20.25" customHeight="1">
      <c r="A184" s="7"/>
    </row>
    <row r="185" ht="20.25" customHeight="1">
      <c r="A185" s="7"/>
    </row>
    <row r="186" ht="20.25" customHeight="1">
      <c r="A186" s="7"/>
    </row>
    <row r="187" ht="20.25" customHeight="1">
      <c r="A187" s="7"/>
    </row>
    <row r="188" ht="20.25" customHeight="1">
      <c r="A188" s="7"/>
    </row>
    <row r="189" ht="20.25" customHeight="1">
      <c r="A189" s="7"/>
    </row>
    <row r="190" ht="20.25" customHeight="1">
      <c r="A190" s="7"/>
    </row>
    <row r="191" ht="20.25" customHeight="1">
      <c r="A191" s="7"/>
    </row>
    <row r="192" ht="20.25" customHeight="1">
      <c r="A192" s="7"/>
    </row>
    <row r="193" ht="20.25" customHeight="1">
      <c r="A193" s="7"/>
    </row>
    <row r="194" ht="20.25" customHeight="1">
      <c r="A194" s="7"/>
    </row>
    <row r="195" ht="20.25" customHeight="1">
      <c r="A195" s="7"/>
    </row>
    <row r="196" ht="20.25" customHeight="1">
      <c r="A196" s="7"/>
    </row>
    <row r="197" ht="20.25" customHeight="1">
      <c r="A197" s="7"/>
    </row>
    <row r="198" ht="20.25" customHeight="1">
      <c r="A198" s="7"/>
    </row>
    <row r="199" ht="20.25" customHeight="1">
      <c r="A199" s="7"/>
    </row>
    <row r="200" ht="20.25" customHeight="1">
      <c r="A200" s="7"/>
    </row>
    <row r="201" ht="20.25" customHeight="1">
      <c r="A201" s="7"/>
    </row>
    <row r="202" ht="20.25" customHeight="1">
      <c r="A202" s="7"/>
    </row>
    <row r="203" ht="20.25" customHeight="1">
      <c r="A203" s="7"/>
    </row>
    <row r="204" ht="20.25" customHeight="1">
      <c r="A204" s="7"/>
    </row>
    <row r="205" ht="20.25" customHeight="1">
      <c r="A205" s="7"/>
    </row>
    <row r="206" ht="20.25" customHeight="1">
      <c r="A206" s="7"/>
    </row>
    <row r="207" ht="20.25" customHeight="1">
      <c r="A207" s="7"/>
    </row>
    <row r="208" ht="20.25" customHeight="1">
      <c r="A208" s="7"/>
    </row>
    <row r="209" ht="20.25" customHeight="1">
      <c r="A209" s="7"/>
    </row>
    <row r="210" ht="20.25" customHeight="1">
      <c r="A210" s="7"/>
    </row>
    <row r="211" ht="20.25" customHeight="1">
      <c r="A211" s="7"/>
    </row>
    <row r="212" ht="20.25" customHeight="1">
      <c r="A212" s="7"/>
    </row>
    <row r="213" ht="20.25" customHeight="1">
      <c r="A213" s="7"/>
    </row>
    <row r="214" ht="20.25" customHeight="1">
      <c r="A214" s="7"/>
    </row>
    <row r="215" ht="20.25" customHeight="1">
      <c r="A215" s="7"/>
    </row>
    <row r="216" ht="20.25" customHeight="1">
      <c r="A216" s="7"/>
    </row>
    <row r="217" ht="20.25" customHeight="1">
      <c r="A217" s="7"/>
    </row>
    <row r="218" ht="20.25" customHeight="1">
      <c r="A218" s="7"/>
    </row>
    <row r="219" ht="20.25" customHeight="1">
      <c r="A219" s="7"/>
    </row>
    <row r="220" ht="20.25" customHeight="1">
      <c r="A220" s="7"/>
    </row>
    <row r="221" ht="20.25" customHeight="1">
      <c r="A221" s="7"/>
    </row>
    <row r="222" ht="20.25" customHeight="1">
      <c r="A222" s="7"/>
    </row>
    <row r="223" ht="20.25" customHeight="1">
      <c r="A223" s="7"/>
    </row>
    <row r="224" ht="20.25" customHeight="1">
      <c r="A224" s="7"/>
    </row>
    <row r="225" ht="20.25" customHeight="1">
      <c r="A225" s="7"/>
    </row>
    <row r="226" ht="20.25" customHeight="1">
      <c r="A226" s="7"/>
    </row>
    <row r="227" ht="20.25" customHeight="1">
      <c r="A227" s="7"/>
    </row>
    <row r="228" ht="20.25" customHeight="1">
      <c r="A228" s="7"/>
    </row>
    <row r="229" ht="20.25" customHeight="1">
      <c r="A229" s="7"/>
    </row>
    <row r="230" ht="20.25" customHeight="1">
      <c r="A230" s="7"/>
    </row>
    <row r="231" ht="20.25" customHeight="1">
      <c r="A231" s="7"/>
    </row>
    <row r="232" ht="20.25" customHeight="1">
      <c r="A232" s="7"/>
    </row>
    <row r="233" ht="20.25" customHeight="1">
      <c r="A233" s="7"/>
    </row>
    <row r="234" ht="20.25" customHeight="1">
      <c r="A234" s="7"/>
    </row>
    <row r="235" ht="20.25" customHeight="1">
      <c r="A235" s="7"/>
    </row>
    <row r="236" ht="20.25" customHeight="1">
      <c r="A236" s="7"/>
    </row>
    <row r="237" ht="20.25" customHeight="1">
      <c r="A237" s="7"/>
    </row>
    <row r="238" ht="20.25" customHeight="1">
      <c r="A238" s="7"/>
    </row>
    <row r="239" ht="20.25" customHeight="1">
      <c r="A239" s="7"/>
    </row>
    <row r="240" ht="20.25" customHeight="1">
      <c r="A240" s="7"/>
    </row>
    <row r="241" ht="20.25" customHeight="1">
      <c r="A241" s="7"/>
    </row>
    <row r="242" ht="20.25" customHeight="1">
      <c r="A242" s="7"/>
    </row>
    <row r="243" ht="20.25" customHeight="1">
      <c r="A243" s="7"/>
    </row>
    <row r="244" ht="20.25" customHeight="1">
      <c r="A244" s="7"/>
    </row>
    <row r="245" ht="20.25" customHeight="1">
      <c r="A245" s="7"/>
    </row>
    <row r="246" ht="20.25" customHeight="1">
      <c r="A246" s="7"/>
    </row>
    <row r="247" ht="20.25" customHeight="1">
      <c r="A247" s="7"/>
    </row>
    <row r="248" ht="20.25" customHeight="1">
      <c r="A248" s="7"/>
    </row>
    <row r="249" ht="20.25" customHeight="1">
      <c r="A249" s="7"/>
    </row>
    <row r="250" ht="20.25" customHeight="1">
      <c r="A250" s="7"/>
    </row>
    <row r="251" ht="20.25" customHeight="1">
      <c r="A251" s="7"/>
    </row>
    <row r="252" ht="20.25" customHeight="1">
      <c r="A252" s="7"/>
    </row>
    <row r="253" ht="20.25" customHeight="1">
      <c r="A253" s="7"/>
    </row>
    <row r="254" ht="20.25" customHeight="1">
      <c r="A254" s="7"/>
    </row>
    <row r="255" ht="20.25" customHeight="1">
      <c r="A255" s="7"/>
    </row>
    <row r="256" ht="20.25" customHeight="1">
      <c r="A256" s="7"/>
    </row>
    <row r="257" ht="20.25" customHeight="1">
      <c r="A257" s="7"/>
    </row>
    <row r="258" ht="20.25" customHeight="1">
      <c r="A258" s="7"/>
    </row>
    <row r="259" ht="20.25" customHeight="1">
      <c r="A259" s="7"/>
    </row>
    <row r="260" ht="20.25" customHeight="1">
      <c r="A260" s="7"/>
    </row>
    <row r="261" ht="20.25" customHeight="1">
      <c r="A261" s="7"/>
    </row>
    <row r="262" ht="20.25" customHeight="1">
      <c r="A262" s="7"/>
    </row>
    <row r="263" ht="20.25" customHeight="1">
      <c r="A263" s="7"/>
    </row>
    <row r="264" ht="20.25" customHeight="1">
      <c r="A264" s="7"/>
    </row>
    <row r="265" ht="20.25" customHeight="1">
      <c r="A265" s="7"/>
    </row>
    <row r="266" ht="20.25" customHeight="1">
      <c r="A266" s="7"/>
    </row>
    <row r="267" ht="20.25" customHeight="1">
      <c r="A267" s="7"/>
    </row>
    <row r="268" ht="20.25" customHeight="1">
      <c r="A268" s="7"/>
    </row>
    <row r="269" ht="20.25" customHeight="1">
      <c r="A269" s="7"/>
    </row>
    <row r="270" ht="20.25" customHeight="1">
      <c r="A270" s="7"/>
    </row>
    <row r="271" ht="20.25" customHeight="1">
      <c r="A271" s="7"/>
    </row>
    <row r="272" ht="20.25" customHeight="1">
      <c r="A272" s="7"/>
    </row>
    <row r="273" ht="20.25" customHeight="1">
      <c r="A273" s="7"/>
    </row>
    <row r="274" ht="20.25" customHeight="1">
      <c r="A274" s="7"/>
    </row>
    <row r="275" ht="20.25" customHeight="1">
      <c r="A275" s="7"/>
    </row>
    <row r="276" ht="20.25" customHeight="1">
      <c r="A276" s="7"/>
    </row>
    <row r="277" ht="20.25" customHeight="1">
      <c r="A277" s="7"/>
    </row>
    <row r="278" ht="20.25" customHeight="1">
      <c r="A278" s="7"/>
    </row>
    <row r="279" ht="20.25" customHeight="1">
      <c r="A279" s="7"/>
    </row>
    <row r="280" ht="20.25" customHeight="1">
      <c r="A280" s="7"/>
    </row>
    <row r="281" ht="20.25" customHeight="1">
      <c r="A281" s="7"/>
    </row>
    <row r="282" ht="20.25" customHeight="1">
      <c r="A282" s="7"/>
    </row>
    <row r="283" ht="20.25" customHeight="1">
      <c r="A283" s="7"/>
    </row>
    <row r="284" ht="20.25" customHeight="1">
      <c r="A284" s="7"/>
    </row>
    <row r="285" ht="20.25" customHeight="1">
      <c r="A285" s="7"/>
    </row>
    <row r="286" ht="20.25" customHeight="1">
      <c r="A286" s="7"/>
    </row>
    <row r="287" ht="20.25" customHeight="1">
      <c r="A287" s="7"/>
    </row>
    <row r="288" ht="20.25" customHeight="1">
      <c r="A288" s="7"/>
    </row>
    <row r="289" ht="20.25" customHeight="1">
      <c r="A289" s="7"/>
    </row>
    <row r="290" ht="20.25" customHeight="1">
      <c r="A290" s="7"/>
    </row>
    <row r="291" ht="20.25" customHeight="1">
      <c r="A291" s="7"/>
    </row>
    <row r="292" ht="20.25" customHeight="1">
      <c r="A292" s="7"/>
    </row>
    <row r="293" ht="20.25" customHeight="1">
      <c r="A293" s="7"/>
    </row>
    <row r="294" ht="20.25" customHeight="1">
      <c r="A294" s="7"/>
    </row>
    <row r="295" ht="20.25" customHeight="1">
      <c r="A295" s="7"/>
    </row>
    <row r="296" ht="20.25" customHeight="1">
      <c r="A296" s="7"/>
    </row>
    <row r="297" ht="20.25" customHeight="1">
      <c r="A297" s="7"/>
    </row>
    <row r="298" ht="20.25" customHeight="1">
      <c r="A298" s="7"/>
    </row>
    <row r="299" ht="20.25" customHeight="1">
      <c r="A299" s="7"/>
    </row>
    <row r="300" ht="20.25" customHeight="1">
      <c r="A300" s="7"/>
    </row>
    <row r="301" ht="20.25" customHeight="1">
      <c r="A301" s="7"/>
    </row>
    <row r="302" ht="20.25" customHeight="1">
      <c r="A302" s="7"/>
    </row>
    <row r="303" ht="20.25" customHeight="1">
      <c r="A303" s="7"/>
    </row>
    <row r="304" ht="20.25" customHeight="1">
      <c r="A304" s="7"/>
    </row>
    <row r="305" ht="20.25" customHeight="1">
      <c r="A305" s="7"/>
    </row>
    <row r="306" ht="20.25" customHeight="1">
      <c r="A306" s="7"/>
    </row>
    <row r="307" ht="20.25" customHeight="1">
      <c r="A307" s="7"/>
    </row>
    <row r="308" ht="20.25" customHeight="1">
      <c r="A308" s="7"/>
    </row>
    <row r="309" ht="20.25" customHeight="1">
      <c r="A309" s="7"/>
    </row>
    <row r="310" ht="20.25" customHeight="1">
      <c r="A310" s="7"/>
    </row>
    <row r="311" ht="20.25" customHeight="1">
      <c r="A311" s="7"/>
    </row>
    <row r="312" ht="20.25" customHeight="1">
      <c r="A312" s="7"/>
    </row>
    <row r="313" ht="20.25" customHeight="1">
      <c r="A313" s="7"/>
    </row>
    <row r="314" ht="20.25" customHeight="1">
      <c r="A314" s="7"/>
    </row>
    <row r="315" ht="20.25" customHeight="1">
      <c r="A315" s="7"/>
    </row>
    <row r="316" ht="20.25" customHeight="1">
      <c r="A316" s="7"/>
    </row>
    <row r="317" ht="20.25" customHeight="1">
      <c r="A317" s="7"/>
    </row>
    <row r="318" ht="20.25" customHeight="1">
      <c r="A318" s="7"/>
    </row>
    <row r="319" ht="20.25" customHeight="1">
      <c r="A319" s="7"/>
    </row>
    <row r="320" ht="20.25" customHeight="1">
      <c r="A320" s="7"/>
    </row>
    <row r="321" ht="20.25" customHeight="1">
      <c r="A321" s="7"/>
    </row>
    <row r="322" ht="20.25" customHeight="1">
      <c r="A322" s="7"/>
    </row>
    <row r="323" ht="20.25" customHeight="1">
      <c r="A323" s="7"/>
    </row>
    <row r="324" ht="20.25" customHeight="1">
      <c r="A324" s="7"/>
    </row>
    <row r="325" ht="20.25" customHeight="1">
      <c r="A325" s="7"/>
    </row>
    <row r="326" ht="20.25" customHeight="1">
      <c r="A326" s="7"/>
    </row>
    <row r="327" ht="20.25" customHeight="1">
      <c r="A327" s="7"/>
    </row>
    <row r="328" ht="20.25" customHeight="1">
      <c r="A328" s="7"/>
    </row>
    <row r="329" ht="20.25" customHeight="1">
      <c r="A329" s="7"/>
    </row>
    <row r="330" ht="20.25" customHeight="1">
      <c r="A330" s="7"/>
    </row>
    <row r="331" ht="20.25" customHeight="1">
      <c r="A331" s="7"/>
    </row>
    <row r="332" ht="20.25" customHeight="1">
      <c r="A332" s="7"/>
    </row>
    <row r="333" ht="20.25" customHeight="1">
      <c r="A333" s="7"/>
    </row>
    <row r="334" ht="20.25" customHeight="1">
      <c r="A334" s="7"/>
    </row>
    <row r="335" ht="20.25" customHeight="1">
      <c r="A335" s="7"/>
    </row>
    <row r="336" ht="20.25" customHeight="1">
      <c r="A336" s="7"/>
    </row>
    <row r="337" ht="20.25" customHeight="1">
      <c r="A337" s="7"/>
    </row>
    <row r="338" ht="20.25" customHeight="1">
      <c r="A338" s="7"/>
    </row>
    <row r="339" ht="20.25" customHeight="1">
      <c r="A339" s="7"/>
    </row>
    <row r="340" ht="20.25" customHeight="1">
      <c r="A340" s="7"/>
    </row>
    <row r="341" ht="20.25" customHeight="1">
      <c r="A341" s="7"/>
    </row>
    <row r="342" ht="20.25" customHeight="1">
      <c r="A342" s="7"/>
    </row>
    <row r="343" ht="20.25" customHeight="1">
      <c r="A343" s="7"/>
    </row>
    <row r="344" ht="20.25" customHeight="1">
      <c r="A344" s="7"/>
    </row>
    <row r="345" ht="20.25" customHeight="1">
      <c r="A345" s="7"/>
    </row>
    <row r="346" ht="20.25" customHeight="1">
      <c r="A346" s="7"/>
    </row>
    <row r="347" ht="20.25" customHeight="1">
      <c r="A347" s="7"/>
    </row>
    <row r="348" ht="20.25" customHeight="1">
      <c r="A348" s="7"/>
    </row>
    <row r="349" ht="20.25" customHeight="1">
      <c r="A349" s="7"/>
    </row>
    <row r="350" ht="20.25" customHeight="1">
      <c r="A350" s="7"/>
    </row>
    <row r="351" ht="20.25" customHeight="1">
      <c r="A351" s="7"/>
    </row>
    <row r="352" ht="20.25" customHeight="1">
      <c r="A352" s="7"/>
    </row>
    <row r="353" ht="20.25" customHeight="1">
      <c r="A353" s="7"/>
    </row>
    <row r="354" ht="20.25" customHeight="1">
      <c r="A354" s="7"/>
    </row>
    <row r="355" ht="20.25" customHeight="1">
      <c r="A355" s="7"/>
    </row>
    <row r="356" ht="20.25" customHeight="1">
      <c r="A356" s="7"/>
    </row>
    <row r="357" ht="20.25" customHeight="1">
      <c r="A357" s="7"/>
    </row>
    <row r="358" ht="20.25" customHeight="1">
      <c r="A358" s="7"/>
    </row>
    <row r="359" ht="20.25" customHeight="1">
      <c r="A359" s="7"/>
    </row>
    <row r="360" ht="20.25" customHeight="1">
      <c r="A360" s="7"/>
    </row>
    <row r="361" ht="20.25" customHeight="1">
      <c r="A361" s="7"/>
    </row>
    <row r="362" ht="20.25" customHeight="1">
      <c r="A362" s="7"/>
    </row>
    <row r="363" ht="20.25" customHeight="1">
      <c r="A363" s="7"/>
    </row>
    <row r="364" ht="20.25" customHeight="1">
      <c r="A364" s="7"/>
    </row>
    <row r="365" ht="20.25" customHeight="1">
      <c r="A365" s="7"/>
    </row>
    <row r="366" ht="20.25" customHeight="1">
      <c r="A366" s="7"/>
    </row>
    <row r="367" ht="20.25" customHeight="1">
      <c r="A367" s="7"/>
    </row>
    <row r="368" ht="20.25" customHeight="1">
      <c r="A368" s="7"/>
    </row>
    <row r="369" ht="20.25" customHeight="1">
      <c r="A369" s="7"/>
    </row>
    <row r="370" ht="20.25" customHeight="1">
      <c r="A370" s="7"/>
    </row>
    <row r="371" ht="20.25" customHeight="1">
      <c r="A371" s="7"/>
    </row>
    <row r="372" ht="20.25" customHeight="1">
      <c r="A372" s="7"/>
    </row>
    <row r="373" ht="20.25" customHeight="1">
      <c r="A373" s="7"/>
    </row>
    <row r="374" ht="20.25" customHeight="1">
      <c r="A374" s="7"/>
    </row>
    <row r="375" ht="20.25" customHeight="1">
      <c r="A375" s="7"/>
    </row>
    <row r="376" ht="20.25" customHeight="1">
      <c r="A376" s="7"/>
    </row>
    <row r="377" ht="20.25" customHeight="1">
      <c r="A377" s="7"/>
    </row>
    <row r="378" ht="20.25" customHeight="1">
      <c r="A378" s="7"/>
    </row>
    <row r="379" ht="20.25" customHeight="1">
      <c r="A379" s="7"/>
    </row>
    <row r="380" ht="20.25" customHeight="1">
      <c r="A380" s="7"/>
    </row>
    <row r="381" ht="20.25" customHeight="1">
      <c r="A381" s="7"/>
    </row>
    <row r="382" ht="20.25" customHeight="1">
      <c r="A382" s="7"/>
    </row>
    <row r="383" ht="20.25" customHeight="1">
      <c r="A383" s="7"/>
    </row>
    <row r="384" ht="20.25" customHeight="1">
      <c r="A384" s="7"/>
    </row>
    <row r="385" ht="20.25" customHeight="1">
      <c r="A385" s="7"/>
    </row>
    <row r="386" ht="20.25" customHeight="1">
      <c r="A386" s="7"/>
    </row>
    <row r="387" ht="20.25" customHeight="1">
      <c r="A387" s="7"/>
    </row>
    <row r="388" ht="20.25" customHeight="1">
      <c r="A388" s="7"/>
    </row>
    <row r="389" ht="20.25" customHeight="1">
      <c r="A389" s="7"/>
    </row>
    <row r="390" ht="20.25" customHeight="1">
      <c r="A390" s="7"/>
    </row>
    <row r="391" ht="20.25" customHeight="1">
      <c r="A391" s="7"/>
    </row>
    <row r="392" ht="20.25" customHeight="1">
      <c r="A392" s="7"/>
    </row>
    <row r="393" ht="20.25" customHeight="1">
      <c r="A393" s="7"/>
    </row>
    <row r="394" ht="20.25" customHeight="1">
      <c r="A394" s="7"/>
    </row>
    <row r="395" ht="20.25" customHeight="1">
      <c r="A395" s="7"/>
    </row>
    <row r="396" ht="20.25" customHeight="1">
      <c r="A396" s="7"/>
    </row>
    <row r="397" ht="20.25" customHeight="1">
      <c r="A397" s="7"/>
    </row>
    <row r="398" ht="20.25" customHeight="1">
      <c r="A398" s="7"/>
    </row>
    <row r="399" ht="20.25" customHeight="1">
      <c r="A399" s="7"/>
    </row>
    <row r="400" ht="20.25" customHeight="1">
      <c r="A400" s="7"/>
    </row>
    <row r="401" ht="20.25" customHeight="1">
      <c r="A401" s="7"/>
    </row>
    <row r="402" ht="20.25" customHeight="1">
      <c r="A402" s="7"/>
    </row>
    <row r="403" ht="20.25" customHeight="1">
      <c r="A403" s="7"/>
    </row>
    <row r="404" ht="20.25" customHeight="1">
      <c r="A404" s="7"/>
    </row>
    <row r="405" ht="20.25" customHeight="1">
      <c r="A405" s="7"/>
    </row>
    <row r="406" ht="20.25" customHeight="1">
      <c r="A406" s="7"/>
    </row>
    <row r="407" ht="20.25" customHeight="1">
      <c r="A407" s="7"/>
    </row>
    <row r="408" ht="20.25" customHeight="1">
      <c r="A408" s="7"/>
    </row>
    <row r="409" ht="20.25" customHeight="1">
      <c r="A409" s="7"/>
    </row>
    <row r="410" ht="20.25" customHeight="1">
      <c r="A410" s="7"/>
    </row>
    <row r="411" ht="20.25" customHeight="1">
      <c r="A411" s="7"/>
    </row>
    <row r="412" ht="20.25" customHeight="1">
      <c r="A412" s="7"/>
    </row>
    <row r="413" ht="20.25" customHeight="1">
      <c r="A413" s="7"/>
    </row>
    <row r="414" ht="20.25" customHeight="1">
      <c r="A414" s="7"/>
    </row>
    <row r="415" ht="20.25" customHeight="1">
      <c r="A415" s="7"/>
    </row>
    <row r="416" ht="20.25" customHeight="1">
      <c r="A416" s="7"/>
    </row>
    <row r="417" ht="20.25" customHeight="1">
      <c r="A417" s="7"/>
    </row>
    <row r="418" ht="20.25" customHeight="1">
      <c r="A418" s="7"/>
    </row>
    <row r="419" ht="20.25" customHeight="1">
      <c r="A419" s="7"/>
    </row>
    <row r="420" ht="20.25" customHeight="1">
      <c r="A420" s="7"/>
    </row>
    <row r="421" ht="20.25" customHeight="1">
      <c r="A421" s="7"/>
    </row>
    <row r="422" ht="20.25" customHeight="1">
      <c r="A422" s="7"/>
    </row>
    <row r="423" ht="20.25" customHeight="1">
      <c r="A423" s="7"/>
    </row>
    <row r="424" ht="20.25" customHeight="1">
      <c r="A424" s="7"/>
    </row>
    <row r="425" ht="20.25" customHeight="1">
      <c r="A425" s="7"/>
    </row>
    <row r="426" ht="20.25" customHeight="1">
      <c r="A426" s="7"/>
    </row>
    <row r="427" ht="20.25" customHeight="1">
      <c r="A427" s="7"/>
    </row>
    <row r="428" ht="20.25" customHeight="1">
      <c r="A428" s="7"/>
    </row>
    <row r="429" ht="20.25" customHeight="1">
      <c r="A429" s="7"/>
    </row>
    <row r="430" ht="20.25" customHeight="1">
      <c r="A430" s="7"/>
    </row>
    <row r="431" ht="20.25" customHeight="1">
      <c r="A431" s="7"/>
    </row>
    <row r="432" ht="20.25" customHeight="1">
      <c r="A432" s="7"/>
    </row>
    <row r="433" ht="20.25" customHeight="1">
      <c r="A433" s="7"/>
    </row>
    <row r="434" ht="20.25" customHeight="1">
      <c r="A434" s="7"/>
    </row>
    <row r="435" ht="20.25" customHeight="1">
      <c r="A435" s="7"/>
    </row>
    <row r="436" ht="20.25" customHeight="1">
      <c r="A436" s="7"/>
    </row>
    <row r="437" ht="20.25" customHeight="1">
      <c r="A437" s="7"/>
    </row>
    <row r="438" ht="20.25" customHeight="1">
      <c r="A438" s="7"/>
    </row>
    <row r="439" ht="20.25" customHeight="1">
      <c r="A439" s="7"/>
    </row>
    <row r="440" ht="20.25" customHeight="1">
      <c r="A440" s="7"/>
    </row>
    <row r="441" ht="20.25" customHeight="1">
      <c r="A441" s="7"/>
    </row>
    <row r="442" ht="20.25" customHeight="1">
      <c r="A442" s="7"/>
    </row>
    <row r="443" ht="20.25" customHeight="1">
      <c r="A443" s="7"/>
    </row>
    <row r="444" ht="20.25" customHeight="1">
      <c r="A444" s="7"/>
    </row>
    <row r="445" ht="20.25" customHeight="1">
      <c r="A445" s="7"/>
    </row>
    <row r="446" ht="20.25" customHeight="1">
      <c r="A446" s="7"/>
    </row>
    <row r="447" ht="20.25" customHeight="1">
      <c r="A447" s="7"/>
    </row>
    <row r="448" ht="20.25" customHeight="1">
      <c r="A448" s="7"/>
    </row>
    <row r="449" ht="20.25" customHeight="1">
      <c r="A449" s="7"/>
    </row>
    <row r="450" ht="20.25" customHeight="1">
      <c r="A450" s="7"/>
    </row>
    <row r="451" ht="20.25" customHeight="1">
      <c r="A451" s="7"/>
    </row>
    <row r="452" ht="20.25" customHeight="1">
      <c r="A452" s="7"/>
    </row>
    <row r="453" ht="20.25" customHeight="1">
      <c r="A453" s="7"/>
    </row>
    <row r="454" ht="20.25" customHeight="1">
      <c r="A454" s="7"/>
    </row>
    <row r="455" ht="20.25" customHeight="1">
      <c r="A455" s="7"/>
    </row>
    <row r="456" ht="20.25" customHeight="1">
      <c r="A456" s="7"/>
    </row>
    <row r="457" ht="20.25" customHeight="1">
      <c r="A457" s="7"/>
    </row>
    <row r="458" ht="20.25" customHeight="1">
      <c r="A458" s="7"/>
    </row>
    <row r="459" ht="20.25" customHeight="1">
      <c r="A459" s="7"/>
    </row>
    <row r="460" ht="20.25" customHeight="1">
      <c r="A460" s="7"/>
    </row>
    <row r="461" ht="20.25" customHeight="1">
      <c r="A461" s="7"/>
    </row>
    <row r="462" ht="20.25" customHeight="1">
      <c r="A462" s="7"/>
    </row>
    <row r="463" ht="20.25" customHeight="1">
      <c r="A463" s="7"/>
    </row>
    <row r="464" ht="20.25" customHeight="1">
      <c r="A464" s="7"/>
    </row>
    <row r="465" ht="20.25" customHeight="1">
      <c r="A465" s="7"/>
    </row>
    <row r="466" ht="20.25" customHeight="1">
      <c r="A466" s="7"/>
    </row>
    <row r="467" ht="20.25" customHeight="1">
      <c r="A467" s="7"/>
    </row>
    <row r="468" ht="20.25" customHeight="1">
      <c r="A468" s="7"/>
    </row>
    <row r="469" ht="20.25" customHeight="1">
      <c r="A469" s="7"/>
    </row>
    <row r="470" ht="20.25" customHeight="1">
      <c r="A470" s="7"/>
    </row>
    <row r="471" ht="20.25" customHeight="1">
      <c r="A471" s="7"/>
    </row>
    <row r="472" ht="20.25" customHeight="1">
      <c r="A472" s="7"/>
    </row>
    <row r="473" ht="20.25" customHeight="1">
      <c r="A473" s="7"/>
    </row>
    <row r="474" ht="20.25" customHeight="1">
      <c r="A474" s="7"/>
    </row>
    <row r="475" ht="20.25" customHeight="1">
      <c r="A475" s="7"/>
    </row>
    <row r="476" ht="20.25" customHeight="1">
      <c r="A476" s="7"/>
    </row>
    <row r="477" ht="20.25" customHeight="1">
      <c r="A477" s="7"/>
    </row>
    <row r="478" ht="20.25" customHeight="1">
      <c r="A478" s="7"/>
    </row>
    <row r="479" ht="20.25" customHeight="1">
      <c r="A479" s="7"/>
    </row>
    <row r="480" ht="20.25" customHeight="1">
      <c r="A480" s="7"/>
    </row>
    <row r="481" ht="20.25" customHeight="1">
      <c r="A481" s="7"/>
    </row>
    <row r="482" ht="20.25" customHeight="1">
      <c r="A482" s="7"/>
    </row>
    <row r="483" ht="20.25" customHeight="1">
      <c r="A483" s="7"/>
    </row>
    <row r="484" ht="20.25" customHeight="1">
      <c r="A484" s="7"/>
    </row>
    <row r="485" ht="20.25" customHeight="1">
      <c r="A485" s="7"/>
    </row>
    <row r="486" ht="20.25" customHeight="1">
      <c r="A486" s="7"/>
    </row>
    <row r="487" ht="20.25" customHeight="1">
      <c r="A487" s="7"/>
    </row>
    <row r="488" ht="20.25" customHeight="1">
      <c r="A488" s="7"/>
    </row>
    <row r="489" ht="20.25" customHeight="1">
      <c r="A489" s="7"/>
    </row>
    <row r="490" ht="20.25" customHeight="1">
      <c r="A490" s="7"/>
    </row>
    <row r="491" ht="20.25" customHeight="1">
      <c r="A491" s="7"/>
    </row>
    <row r="492" ht="20.25" customHeight="1">
      <c r="A492" s="7"/>
    </row>
    <row r="493" ht="20.25" customHeight="1">
      <c r="A493" s="7"/>
    </row>
    <row r="494" ht="20.25" customHeight="1">
      <c r="A494" s="7"/>
    </row>
    <row r="495" ht="20.25" customHeight="1">
      <c r="A495" s="7"/>
    </row>
    <row r="496" ht="20.25" customHeight="1">
      <c r="A496" s="7"/>
    </row>
    <row r="497" ht="20.25" customHeight="1">
      <c r="A497" s="7"/>
    </row>
    <row r="498" ht="20.25" customHeight="1">
      <c r="A498" s="7"/>
    </row>
    <row r="499" ht="20.25" customHeight="1">
      <c r="A499" s="7"/>
    </row>
    <row r="500" ht="20.25" customHeight="1">
      <c r="A500" s="7"/>
    </row>
    <row r="501" ht="20.25" customHeight="1">
      <c r="A501" s="7"/>
    </row>
    <row r="502" ht="20.25" customHeight="1">
      <c r="A502" s="7"/>
    </row>
    <row r="503" ht="20.25" customHeight="1">
      <c r="A503" s="7"/>
    </row>
    <row r="504" ht="20.25" customHeight="1">
      <c r="A504" s="7"/>
    </row>
    <row r="505" ht="20.25" customHeight="1">
      <c r="A505" s="7"/>
    </row>
    <row r="506" ht="20.25" customHeight="1">
      <c r="A506" s="7"/>
    </row>
    <row r="507" ht="20.25" customHeight="1">
      <c r="A507" s="7"/>
    </row>
    <row r="508" ht="20.25" customHeight="1">
      <c r="A508" s="7"/>
    </row>
    <row r="509" ht="20.25" customHeight="1">
      <c r="A509" s="7"/>
    </row>
    <row r="510" ht="20.25" customHeight="1">
      <c r="A510" s="7"/>
    </row>
    <row r="511" ht="20.25" customHeight="1">
      <c r="A511" s="7"/>
    </row>
    <row r="512" ht="20.25" customHeight="1">
      <c r="A512" s="7"/>
    </row>
    <row r="513" ht="20.25" customHeight="1">
      <c r="A513" s="7"/>
    </row>
    <row r="514" ht="20.25" customHeight="1">
      <c r="A514" s="7"/>
    </row>
    <row r="515" ht="20.25" customHeight="1">
      <c r="A515" s="7"/>
    </row>
    <row r="516" ht="20.25" customHeight="1">
      <c r="A516" s="7"/>
    </row>
    <row r="517" ht="20.25" customHeight="1">
      <c r="A517" s="7"/>
    </row>
    <row r="518" ht="20.25" customHeight="1">
      <c r="A518" s="7"/>
    </row>
    <row r="519" ht="20.25" customHeight="1">
      <c r="A519" s="7"/>
    </row>
    <row r="520" ht="20.25" customHeight="1">
      <c r="A520" s="7"/>
    </row>
    <row r="521" ht="20.25" customHeight="1">
      <c r="A521" s="7"/>
    </row>
    <row r="522" ht="20.25" customHeight="1">
      <c r="A522" s="7"/>
    </row>
    <row r="523" ht="20.25" customHeight="1">
      <c r="A523" s="7"/>
    </row>
    <row r="524" ht="20.25" customHeight="1">
      <c r="A524" s="7"/>
    </row>
    <row r="525" ht="20.25" customHeight="1">
      <c r="A525" s="7"/>
    </row>
    <row r="526" ht="20.25" customHeight="1">
      <c r="A526" s="7"/>
    </row>
    <row r="527" ht="20.25" customHeight="1">
      <c r="A527" s="7"/>
    </row>
    <row r="528" ht="20.25" customHeight="1">
      <c r="A528" s="7"/>
    </row>
    <row r="529" ht="20.25" customHeight="1">
      <c r="A529" s="7"/>
    </row>
    <row r="530" ht="20.25" customHeight="1">
      <c r="A530" s="7"/>
    </row>
    <row r="531" ht="20.25" customHeight="1">
      <c r="A531" s="7"/>
    </row>
    <row r="532" ht="20.25" customHeight="1">
      <c r="A532" s="7"/>
    </row>
    <row r="533" ht="20.25" customHeight="1">
      <c r="A533" s="7"/>
    </row>
    <row r="534" ht="20.25" customHeight="1">
      <c r="A534" s="7"/>
    </row>
    <row r="535" ht="20.25" customHeight="1">
      <c r="A535" s="7"/>
    </row>
    <row r="536" ht="20.25" customHeight="1">
      <c r="A536" s="7"/>
    </row>
    <row r="537" ht="20.25" customHeight="1">
      <c r="A537" s="7"/>
    </row>
    <row r="538" ht="20.25" customHeight="1">
      <c r="A538" s="7"/>
    </row>
    <row r="539" ht="20.25" customHeight="1">
      <c r="A539" s="7"/>
    </row>
    <row r="540" ht="20.25" customHeight="1">
      <c r="A540" s="7"/>
    </row>
    <row r="541" ht="20.25" customHeight="1">
      <c r="A541" s="7"/>
    </row>
    <row r="542" ht="20.25" customHeight="1">
      <c r="A542" s="7"/>
    </row>
    <row r="543" ht="20.25" customHeight="1">
      <c r="A543" s="7"/>
    </row>
    <row r="544" ht="20.25" customHeight="1">
      <c r="A544" s="7"/>
    </row>
    <row r="545" ht="20.25" customHeight="1">
      <c r="A545" s="7"/>
    </row>
    <row r="546" ht="20.25" customHeight="1">
      <c r="A546" s="7"/>
    </row>
    <row r="547" ht="20.25" customHeight="1">
      <c r="A547" s="7"/>
    </row>
    <row r="548" ht="20.25" customHeight="1">
      <c r="A548" s="7"/>
    </row>
    <row r="549" ht="20.25" customHeight="1">
      <c r="A549" s="7"/>
    </row>
    <row r="550" ht="20.25" customHeight="1">
      <c r="A550" s="7"/>
    </row>
    <row r="551" ht="20.25" customHeight="1">
      <c r="A551" s="7"/>
    </row>
    <row r="552" ht="20.25" customHeight="1">
      <c r="A552" s="7"/>
    </row>
    <row r="553" ht="20.25" customHeight="1">
      <c r="A553" s="7"/>
    </row>
    <row r="554" ht="20.25" customHeight="1">
      <c r="A554" s="7"/>
    </row>
    <row r="555" ht="20.25" customHeight="1">
      <c r="A555" s="7"/>
    </row>
    <row r="556" ht="20.25" customHeight="1">
      <c r="A556" s="7"/>
    </row>
    <row r="557" ht="20.25" customHeight="1">
      <c r="A557" s="7"/>
    </row>
    <row r="558" ht="20.25" customHeight="1">
      <c r="A558" s="7"/>
    </row>
    <row r="559" ht="20.25" customHeight="1">
      <c r="A559" s="7"/>
    </row>
    <row r="560" ht="20.25" customHeight="1">
      <c r="A560" s="7"/>
    </row>
    <row r="561" ht="20.25" customHeight="1">
      <c r="A561" s="7"/>
    </row>
    <row r="562" ht="20.25" customHeight="1">
      <c r="A562" s="7"/>
    </row>
    <row r="563" ht="20.25" customHeight="1">
      <c r="A563" s="7"/>
    </row>
    <row r="564" ht="20.25" customHeight="1">
      <c r="A564" s="7"/>
    </row>
    <row r="565" ht="20.25" customHeight="1">
      <c r="A565" s="7"/>
    </row>
    <row r="566" ht="20.25" customHeight="1">
      <c r="A566" s="7"/>
    </row>
    <row r="567" ht="20.25" customHeight="1">
      <c r="A567" s="7"/>
    </row>
    <row r="568" ht="20.25" customHeight="1">
      <c r="A568" s="7"/>
    </row>
    <row r="569" ht="20.25" customHeight="1">
      <c r="A569" s="7"/>
    </row>
    <row r="570" ht="20.25" customHeight="1">
      <c r="A570" s="7"/>
    </row>
    <row r="571" ht="20.25" customHeight="1">
      <c r="A571" s="7"/>
    </row>
    <row r="572" ht="20.25" customHeight="1">
      <c r="A572" s="7"/>
    </row>
    <row r="573" ht="20.25" customHeight="1">
      <c r="A573" s="7"/>
    </row>
    <row r="574" ht="20.25" customHeight="1">
      <c r="A574" s="7"/>
    </row>
    <row r="575" ht="20.25" customHeight="1">
      <c r="A575" s="7"/>
    </row>
    <row r="576" ht="20.25" customHeight="1">
      <c r="A576" s="7"/>
    </row>
    <row r="577" ht="20.25" customHeight="1">
      <c r="A577" s="7"/>
    </row>
    <row r="578" ht="20.25" customHeight="1">
      <c r="A578" s="7"/>
    </row>
    <row r="579" ht="20.25" customHeight="1">
      <c r="A579" s="7"/>
    </row>
    <row r="580" ht="20.25" customHeight="1">
      <c r="A580" s="7"/>
    </row>
    <row r="581" ht="20.25" customHeight="1">
      <c r="A581" s="7"/>
    </row>
    <row r="582" ht="20.25" customHeight="1">
      <c r="A582" s="7"/>
    </row>
    <row r="583" ht="20.25" customHeight="1">
      <c r="A583" s="7"/>
    </row>
    <row r="584" ht="20.25" customHeight="1">
      <c r="A584" s="7"/>
    </row>
    <row r="585" ht="20.25" customHeight="1">
      <c r="A585" s="7"/>
    </row>
    <row r="586" ht="20.25" customHeight="1">
      <c r="A586" s="7"/>
    </row>
    <row r="587" ht="20.25" customHeight="1">
      <c r="A587" s="7"/>
    </row>
    <row r="588" ht="20.25" customHeight="1">
      <c r="A588" s="7"/>
    </row>
    <row r="589" ht="20.25" customHeight="1">
      <c r="A589" s="7"/>
    </row>
    <row r="590" ht="20.25" customHeight="1">
      <c r="A590" s="7"/>
    </row>
    <row r="591" ht="20.25" customHeight="1">
      <c r="A591" s="7"/>
    </row>
    <row r="592" ht="20.25" customHeight="1">
      <c r="A592" s="7"/>
    </row>
    <row r="593" ht="20.25" customHeight="1">
      <c r="A593" s="7"/>
    </row>
    <row r="594" ht="20.25" customHeight="1">
      <c r="A594" s="7"/>
    </row>
    <row r="595" ht="20.25" customHeight="1">
      <c r="A595" s="7"/>
    </row>
    <row r="596" ht="20.25" customHeight="1">
      <c r="A596" s="7"/>
    </row>
    <row r="597" ht="20.25" customHeight="1">
      <c r="A597" s="7"/>
    </row>
    <row r="598" ht="20.25" customHeight="1">
      <c r="A598" s="7"/>
    </row>
    <row r="599" ht="20.25" customHeight="1">
      <c r="A599" s="7"/>
    </row>
    <row r="600" ht="20.25" customHeight="1">
      <c r="A600" s="7"/>
    </row>
    <row r="601" ht="20.25" customHeight="1">
      <c r="A601" s="7"/>
    </row>
    <row r="602" ht="20.25" customHeight="1">
      <c r="A602" s="7"/>
    </row>
    <row r="603" ht="20.25" customHeight="1">
      <c r="A603" s="7"/>
    </row>
    <row r="604" ht="20.25" customHeight="1">
      <c r="A604" s="7"/>
    </row>
    <row r="605" ht="20.25" customHeight="1">
      <c r="A605" s="7"/>
    </row>
    <row r="606" ht="20.25" customHeight="1">
      <c r="A606" s="7"/>
    </row>
    <row r="607" ht="20.25" customHeight="1">
      <c r="A607" s="7"/>
    </row>
    <row r="608" ht="20.25" customHeight="1">
      <c r="A608" s="7"/>
    </row>
    <row r="609" ht="20.25" customHeight="1">
      <c r="A609" s="7"/>
    </row>
    <row r="610" ht="20.25" customHeight="1">
      <c r="A610" s="7"/>
    </row>
    <row r="611" ht="20.25" customHeight="1">
      <c r="A611" s="7"/>
    </row>
    <row r="612" ht="20.25" customHeight="1">
      <c r="A612" s="7"/>
    </row>
    <row r="613" ht="20.25" customHeight="1">
      <c r="A613" s="7"/>
    </row>
    <row r="614" ht="20.25" customHeight="1">
      <c r="A614" s="7"/>
    </row>
    <row r="615" ht="20.25" customHeight="1">
      <c r="A615" s="7"/>
    </row>
    <row r="616" ht="20.25" customHeight="1">
      <c r="A616" s="7"/>
    </row>
    <row r="617" ht="20.25" customHeight="1">
      <c r="A617" s="7"/>
    </row>
    <row r="618" ht="20.25" customHeight="1">
      <c r="A618" s="7"/>
    </row>
    <row r="619" ht="20.25" customHeight="1">
      <c r="A619" s="7"/>
    </row>
    <row r="620" ht="20.25" customHeight="1">
      <c r="A620" s="7"/>
    </row>
    <row r="621" ht="20.25" customHeight="1">
      <c r="A621" s="7"/>
    </row>
    <row r="622" ht="20.25" customHeight="1">
      <c r="A622" s="7"/>
    </row>
    <row r="623" ht="20.25" customHeight="1">
      <c r="A623" s="7"/>
    </row>
    <row r="624" ht="20.25" customHeight="1">
      <c r="A624" s="7"/>
    </row>
    <row r="625" ht="20.25" customHeight="1">
      <c r="A625" s="7"/>
    </row>
    <row r="626" ht="20.25" customHeight="1">
      <c r="A626" s="7"/>
    </row>
    <row r="627" ht="20.25" customHeight="1">
      <c r="A627" s="7"/>
    </row>
    <row r="628" ht="20.25" customHeight="1">
      <c r="A628" s="7"/>
    </row>
    <row r="629" ht="20.25" customHeight="1">
      <c r="A629" s="7"/>
    </row>
    <row r="630" ht="20.25" customHeight="1">
      <c r="A630" s="7"/>
    </row>
    <row r="631" ht="20.25" customHeight="1">
      <c r="A631" s="7"/>
    </row>
    <row r="632" ht="20.25" customHeight="1">
      <c r="A632" s="7"/>
    </row>
    <row r="633" ht="20.25" customHeight="1">
      <c r="A633" s="7"/>
    </row>
    <row r="634" ht="20.25" customHeight="1">
      <c r="A634" s="7"/>
    </row>
    <row r="635" ht="20.25" customHeight="1">
      <c r="A635" s="7"/>
    </row>
    <row r="636" ht="20.25" customHeight="1">
      <c r="A636" s="7"/>
    </row>
    <row r="637" ht="20.25" customHeight="1">
      <c r="A637" s="7"/>
    </row>
    <row r="638" ht="20.25" customHeight="1">
      <c r="A638" s="7"/>
    </row>
    <row r="639" ht="20.25" customHeight="1">
      <c r="A639" s="7"/>
    </row>
    <row r="640" ht="20.25" customHeight="1">
      <c r="A640" s="7"/>
    </row>
    <row r="641" ht="20.25" customHeight="1">
      <c r="A641" s="7"/>
    </row>
    <row r="642" ht="20.25" customHeight="1">
      <c r="A642" s="7"/>
    </row>
    <row r="643" ht="20.25" customHeight="1">
      <c r="A643" s="7"/>
    </row>
    <row r="644" ht="20.25" customHeight="1">
      <c r="A644" s="7"/>
    </row>
    <row r="645" ht="20.25" customHeight="1">
      <c r="A645" s="7"/>
    </row>
    <row r="646" ht="20.25" customHeight="1">
      <c r="A646" s="7"/>
    </row>
    <row r="647" ht="20.25" customHeight="1">
      <c r="A647" s="7"/>
    </row>
    <row r="648" ht="20.25" customHeight="1">
      <c r="A648" s="7"/>
    </row>
    <row r="649" ht="20.25" customHeight="1">
      <c r="A649" s="7"/>
    </row>
    <row r="650" ht="20.25" customHeight="1">
      <c r="A650" s="7"/>
    </row>
    <row r="651" ht="20.25" customHeight="1">
      <c r="A651" s="7"/>
    </row>
    <row r="652" ht="20.25" customHeight="1">
      <c r="A652" s="7"/>
    </row>
    <row r="653" ht="20.25" customHeight="1">
      <c r="A653" s="7"/>
    </row>
    <row r="654" ht="20.25" customHeight="1">
      <c r="A654" s="7"/>
    </row>
    <row r="655" ht="20.25" customHeight="1">
      <c r="A655" s="7"/>
    </row>
    <row r="656" ht="20.25" customHeight="1">
      <c r="A656" s="7"/>
    </row>
    <row r="657" ht="20.25" customHeight="1">
      <c r="A657" s="7"/>
    </row>
    <row r="658" ht="20.25" customHeight="1">
      <c r="A658" s="7"/>
    </row>
    <row r="659" ht="20.25" customHeight="1">
      <c r="A659" s="7"/>
    </row>
    <row r="660" ht="20.25" customHeight="1">
      <c r="A660" s="7"/>
    </row>
    <row r="661" ht="20.25" customHeight="1">
      <c r="A661" s="7"/>
    </row>
    <row r="662" ht="20.25" customHeight="1">
      <c r="A662" s="7"/>
    </row>
    <row r="663" ht="20.25" customHeight="1">
      <c r="A663" s="7"/>
    </row>
    <row r="664" ht="20.25" customHeight="1">
      <c r="A664" s="7"/>
    </row>
    <row r="665" ht="20.25" customHeight="1">
      <c r="A665" s="7"/>
    </row>
    <row r="666" ht="20.25" customHeight="1">
      <c r="A666" s="7"/>
    </row>
    <row r="667" ht="20.25" customHeight="1">
      <c r="A667" s="7"/>
    </row>
    <row r="668" ht="20.25" customHeight="1">
      <c r="A668" s="7"/>
    </row>
    <row r="669" ht="20.25" customHeight="1">
      <c r="A669" s="7"/>
    </row>
    <row r="670" ht="20.25" customHeight="1">
      <c r="A670" s="7"/>
    </row>
    <row r="671" ht="20.25" customHeight="1">
      <c r="A671" s="7"/>
    </row>
    <row r="672" ht="20.25" customHeight="1">
      <c r="A672" s="7"/>
    </row>
    <row r="673" ht="20.25" customHeight="1">
      <c r="A673" s="7"/>
    </row>
    <row r="674" ht="20.25" customHeight="1">
      <c r="A674" s="7"/>
    </row>
    <row r="675" ht="20.25" customHeight="1">
      <c r="A675" s="7"/>
    </row>
    <row r="676" ht="20.25" customHeight="1">
      <c r="A676" s="7"/>
    </row>
    <row r="677" ht="20.25" customHeight="1">
      <c r="A677" s="7"/>
    </row>
    <row r="678" ht="20.25" customHeight="1">
      <c r="A678" s="7"/>
    </row>
    <row r="679" ht="20.25" customHeight="1">
      <c r="A679" s="7"/>
    </row>
    <row r="680" ht="20.25" customHeight="1">
      <c r="A680" s="7"/>
    </row>
    <row r="681" ht="20.25" customHeight="1">
      <c r="A681" s="7"/>
    </row>
    <row r="682" ht="20.25" customHeight="1">
      <c r="A682" s="7"/>
    </row>
    <row r="683" ht="20.25" customHeight="1">
      <c r="A683" s="7"/>
    </row>
    <row r="684" ht="20.25" customHeight="1">
      <c r="A684" s="7"/>
    </row>
    <row r="685" ht="20.25" customHeight="1">
      <c r="A685" s="7"/>
    </row>
    <row r="686" ht="20.25" customHeight="1">
      <c r="A686" s="7"/>
    </row>
    <row r="687" ht="20.25" customHeight="1">
      <c r="A687" s="7"/>
    </row>
    <row r="688" ht="20.25" customHeight="1">
      <c r="A688" s="7"/>
    </row>
    <row r="689" ht="20.25" customHeight="1">
      <c r="A689" s="7"/>
    </row>
    <row r="690" ht="20.25" customHeight="1">
      <c r="A690" s="7"/>
    </row>
    <row r="691" ht="20.25" customHeight="1">
      <c r="A691" s="7"/>
    </row>
    <row r="692" ht="20.25" customHeight="1">
      <c r="A692" s="7"/>
    </row>
    <row r="693" ht="20.25" customHeight="1">
      <c r="A693" s="7"/>
    </row>
    <row r="694" ht="20.25" customHeight="1">
      <c r="A694" s="7"/>
    </row>
    <row r="695" ht="20.25" customHeight="1">
      <c r="A695" s="7"/>
    </row>
    <row r="696" ht="20.25" customHeight="1">
      <c r="A696" s="7"/>
    </row>
    <row r="697" ht="20.25" customHeight="1">
      <c r="A697" s="7"/>
    </row>
    <row r="698" ht="20.25" customHeight="1">
      <c r="A698" s="7"/>
    </row>
    <row r="699" ht="20.25" customHeight="1">
      <c r="A699" s="7"/>
    </row>
    <row r="700" ht="20.25" customHeight="1">
      <c r="A700" s="7"/>
    </row>
    <row r="701" ht="20.25" customHeight="1">
      <c r="A701" s="7"/>
    </row>
    <row r="702" ht="20.25" customHeight="1">
      <c r="A702" s="7"/>
    </row>
    <row r="703" ht="20.25" customHeight="1">
      <c r="A703" s="7"/>
    </row>
    <row r="704" ht="20.25" customHeight="1">
      <c r="A704" s="7"/>
    </row>
    <row r="705" ht="20.25" customHeight="1">
      <c r="A705" s="7"/>
    </row>
    <row r="706" ht="20.25" customHeight="1">
      <c r="A706" s="7"/>
    </row>
    <row r="707" ht="20.25" customHeight="1">
      <c r="A707" s="7"/>
    </row>
    <row r="708" ht="20.25" customHeight="1">
      <c r="A708" s="7"/>
    </row>
    <row r="709" ht="20.25" customHeight="1">
      <c r="A709" s="7"/>
    </row>
    <row r="710" ht="20.25" customHeight="1">
      <c r="A710" s="7"/>
    </row>
    <row r="711" ht="20.25" customHeight="1">
      <c r="A711" s="7"/>
    </row>
    <row r="712" ht="20.25" customHeight="1">
      <c r="A712" s="7"/>
    </row>
    <row r="713" ht="20.25" customHeight="1">
      <c r="A713" s="7"/>
    </row>
    <row r="714" ht="20.25" customHeight="1">
      <c r="A714" s="7"/>
    </row>
    <row r="715" ht="20.25" customHeight="1">
      <c r="A715" s="7"/>
    </row>
    <row r="716" ht="20.25" customHeight="1">
      <c r="A716" s="7"/>
    </row>
    <row r="717" ht="20.25" customHeight="1">
      <c r="A717" s="7"/>
    </row>
    <row r="718" ht="20.25" customHeight="1">
      <c r="A718" s="7"/>
    </row>
    <row r="719" ht="20.25" customHeight="1">
      <c r="A719" s="7"/>
    </row>
    <row r="720" ht="20.25" customHeight="1">
      <c r="A720" s="7"/>
    </row>
    <row r="721" ht="20.25" customHeight="1">
      <c r="A721" s="7"/>
    </row>
    <row r="722" ht="20.25" customHeight="1">
      <c r="A722" s="7"/>
    </row>
    <row r="723" ht="20.25" customHeight="1">
      <c r="A723" s="7"/>
    </row>
    <row r="724" ht="20.25" customHeight="1">
      <c r="A724" s="7"/>
    </row>
    <row r="725" ht="20.25" customHeight="1">
      <c r="A725" s="7"/>
    </row>
    <row r="726" ht="20.25" customHeight="1">
      <c r="A726" s="7"/>
    </row>
    <row r="727" ht="20.25" customHeight="1">
      <c r="A727" s="7"/>
    </row>
    <row r="728" ht="20.25" customHeight="1">
      <c r="A728" s="7"/>
    </row>
    <row r="729" ht="20.25" customHeight="1">
      <c r="A729" s="7"/>
    </row>
    <row r="730" ht="20.25" customHeight="1">
      <c r="A730" s="7"/>
    </row>
    <row r="731" ht="20.25" customHeight="1">
      <c r="A731" s="7"/>
    </row>
    <row r="732" ht="20.25" customHeight="1">
      <c r="A732" s="7"/>
    </row>
    <row r="733" ht="20.25" customHeight="1">
      <c r="A733" s="7"/>
    </row>
    <row r="734" ht="20.25" customHeight="1">
      <c r="A734" s="7"/>
    </row>
    <row r="735" ht="20.25" customHeight="1">
      <c r="A735" s="7"/>
    </row>
    <row r="736" ht="20.25" customHeight="1">
      <c r="A736" s="7"/>
    </row>
    <row r="737" ht="20.25" customHeight="1">
      <c r="A737" s="7"/>
    </row>
    <row r="738" ht="20.25" customHeight="1">
      <c r="A738" s="7"/>
    </row>
    <row r="739" ht="20.25" customHeight="1">
      <c r="A739" s="7"/>
    </row>
    <row r="740" ht="20.25" customHeight="1">
      <c r="A740" s="7"/>
    </row>
    <row r="741" ht="20.25" customHeight="1">
      <c r="A741" s="7"/>
    </row>
    <row r="742" ht="20.25" customHeight="1">
      <c r="A742" s="7"/>
    </row>
    <row r="743" ht="20.25" customHeight="1">
      <c r="A743" s="7"/>
    </row>
    <row r="744" ht="20.25" customHeight="1">
      <c r="A744" s="7"/>
    </row>
    <row r="745" ht="20.25" customHeight="1">
      <c r="A745" s="7"/>
    </row>
    <row r="746" ht="20.25" customHeight="1">
      <c r="A746" s="7"/>
    </row>
    <row r="747" ht="20.25" customHeight="1">
      <c r="A747" s="7"/>
    </row>
    <row r="748" ht="20.25" customHeight="1">
      <c r="A748" s="7"/>
    </row>
    <row r="749" ht="20.25" customHeight="1">
      <c r="A749" s="7"/>
    </row>
    <row r="750" ht="20.25" customHeight="1">
      <c r="A750" s="7"/>
    </row>
    <row r="751" ht="20.25" customHeight="1">
      <c r="A751" s="7"/>
    </row>
    <row r="752" ht="20.25" customHeight="1">
      <c r="A752" s="7"/>
    </row>
    <row r="753" ht="20.25" customHeight="1">
      <c r="A753" s="7"/>
    </row>
    <row r="754" ht="20.25" customHeight="1">
      <c r="A754" s="7"/>
    </row>
    <row r="755" ht="20.25" customHeight="1">
      <c r="A755" s="7"/>
    </row>
    <row r="756" ht="20.25" customHeight="1">
      <c r="A756" s="7"/>
    </row>
    <row r="757" ht="20.25" customHeight="1">
      <c r="A757" s="7"/>
    </row>
    <row r="758" ht="20.25" customHeight="1">
      <c r="A758" s="7"/>
    </row>
    <row r="759" ht="20.25" customHeight="1">
      <c r="A759" s="7"/>
    </row>
    <row r="760" ht="20.25" customHeight="1">
      <c r="A760" s="7"/>
    </row>
    <row r="761" ht="20.25" customHeight="1">
      <c r="A761" s="7"/>
    </row>
    <row r="762" ht="20.25" customHeight="1">
      <c r="A762" s="7"/>
    </row>
    <row r="763" ht="20.25" customHeight="1">
      <c r="A763" s="7"/>
    </row>
    <row r="764" ht="20.25" customHeight="1">
      <c r="A764" s="7"/>
    </row>
    <row r="765" ht="20.25" customHeight="1">
      <c r="A765" s="7"/>
    </row>
    <row r="766" ht="20.25" customHeight="1">
      <c r="A766" s="7"/>
    </row>
    <row r="767" ht="20.25" customHeight="1">
      <c r="A767" s="7"/>
    </row>
    <row r="768" ht="20.25" customHeight="1">
      <c r="A768" s="7"/>
    </row>
    <row r="769" ht="20.25" customHeight="1">
      <c r="A769" s="7"/>
    </row>
    <row r="770" ht="20.25" customHeight="1">
      <c r="A770" s="7"/>
    </row>
    <row r="771" ht="20.25" customHeight="1">
      <c r="A771" s="7"/>
    </row>
    <row r="772" ht="20.25" customHeight="1">
      <c r="A772" s="7"/>
    </row>
    <row r="773" ht="20.25" customHeight="1">
      <c r="A773" s="7"/>
    </row>
    <row r="774" ht="20.25" customHeight="1">
      <c r="A774" s="7"/>
    </row>
    <row r="775" ht="20.25" customHeight="1">
      <c r="A775" s="7"/>
    </row>
    <row r="776" ht="20.25" customHeight="1">
      <c r="A776" s="7"/>
    </row>
    <row r="777" ht="20.25" customHeight="1">
      <c r="A777" s="7"/>
    </row>
    <row r="778" ht="20.25" customHeight="1">
      <c r="A778" s="7"/>
    </row>
    <row r="779" ht="20.25" customHeight="1">
      <c r="A779" s="7"/>
    </row>
    <row r="780" ht="20.25" customHeight="1">
      <c r="A780" s="7"/>
    </row>
    <row r="781" ht="20.25" customHeight="1">
      <c r="A781" s="7"/>
    </row>
    <row r="782" ht="20.25" customHeight="1">
      <c r="A782" s="7"/>
    </row>
    <row r="783" ht="20.25" customHeight="1">
      <c r="A783" s="7"/>
    </row>
    <row r="784" ht="20.25" customHeight="1">
      <c r="A784" s="7"/>
    </row>
    <row r="785" ht="20.25" customHeight="1">
      <c r="A785" s="7"/>
    </row>
    <row r="786" ht="20.25" customHeight="1">
      <c r="A786" s="7"/>
    </row>
    <row r="787" ht="20.25" customHeight="1">
      <c r="A787" s="7"/>
    </row>
    <row r="788" ht="20.25" customHeight="1">
      <c r="A788" s="7"/>
    </row>
    <row r="789" ht="20.25" customHeight="1">
      <c r="A789" s="7"/>
    </row>
    <row r="790" ht="20.25" customHeight="1">
      <c r="A790" s="7"/>
    </row>
    <row r="791" ht="20.25" customHeight="1">
      <c r="A791" s="7"/>
    </row>
    <row r="792" ht="20.25" customHeight="1">
      <c r="A792" s="7"/>
    </row>
    <row r="793" ht="20.25" customHeight="1">
      <c r="A793" s="7"/>
    </row>
    <row r="794" ht="20.25" customHeight="1">
      <c r="A794" s="7"/>
    </row>
    <row r="795" ht="20.25" customHeight="1">
      <c r="A795" s="7"/>
    </row>
    <row r="796" ht="20.25" customHeight="1">
      <c r="A796" s="7"/>
    </row>
    <row r="797" ht="20.25" customHeight="1">
      <c r="A797" s="7"/>
    </row>
    <row r="798" ht="20.25" customHeight="1">
      <c r="A798" s="7"/>
    </row>
    <row r="799" ht="20.25" customHeight="1">
      <c r="A799" s="7"/>
    </row>
    <row r="800" ht="20.25" customHeight="1">
      <c r="A800" s="7"/>
    </row>
    <row r="801" ht="20.25" customHeight="1">
      <c r="A801" s="7"/>
    </row>
    <row r="802" ht="20.25" customHeight="1">
      <c r="A802" s="7"/>
    </row>
    <row r="803" ht="20.25" customHeight="1">
      <c r="A803" s="7"/>
    </row>
    <row r="804" ht="20.25" customHeight="1">
      <c r="A804" s="7"/>
    </row>
    <row r="805" ht="20.25" customHeight="1">
      <c r="A805" s="7"/>
    </row>
    <row r="806" ht="20.25" customHeight="1">
      <c r="A806" s="7"/>
    </row>
    <row r="807" ht="20.25" customHeight="1">
      <c r="A807" s="7"/>
    </row>
    <row r="808" ht="20.25" customHeight="1">
      <c r="A808" s="7"/>
    </row>
    <row r="809" ht="20.25" customHeight="1">
      <c r="A809" s="7"/>
    </row>
    <row r="810" ht="20.25" customHeight="1">
      <c r="A810" s="7"/>
    </row>
    <row r="811" ht="20.25" customHeight="1">
      <c r="A811" s="7"/>
    </row>
    <row r="812" ht="20.25" customHeight="1">
      <c r="A812" s="7"/>
    </row>
    <row r="813" ht="20.25" customHeight="1">
      <c r="A813" s="7"/>
    </row>
    <row r="814" ht="20.25" customHeight="1">
      <c r="A814" s="7"/>
    </row>
    <row r="815" ht="20.25" customHeight="1">
      <c r="A815" s="7"/>
    </row>
    <row r="816" ht="20.25" customHeight="1">
      <c r="A816" s="7"/>
    </row>
    <row r="817" ht="20.25" customHeight="1">
      <c r="A817" s="7"/>
    </row>
    <row r="818" ht="20.25" customHeight="1">
      <c r="A818" s="7"/>
    </row>
    <row r="819" ht="20.25" customHeight="1">
      <c r="A819" s="7"/>
    </row>
    <row r="820" ht="20.25" customHeight="1">
      <c r="A820" s="7"/>
    </row>
    <row r="821" ht="20.25" customHeight="1">
      <c r="A821" s="7"/>
    </row>
    <row r="822" ht="20.25" customHeight="1">
      <c r="A822" s="7"/>
    </row>
    <row r="823" ht="20.25" customHeight="1">
      <c r="A823" s="7"/>
    </row>
    <row r="824" ht="20.25" customHeight="1">
      <c r="A824" s="7"/>
    </row>
    <row r="825" ht="20.25" customHeight="1">
      <c r="A825" s="7"/>
    </row>
    <row r="826" ht="20.25" customHeight="1">
      <c r="A826" s="7"/>
    </row>
    <row r="827" ht="20.25" customHeight="1">
      <c r="A827" s="7"/>
    </row>
    <row r="828" ht="20.25" customHeight="1">
      <c r="A828" s="7"/>
    </row>
    <row r="829" ht="20.25" customHeight="1">
      <c r="A829" s="7"/>
    </row>
    <row r="830" ht="20.25" customHeight="1">
      <c r="A830" s="7"/>
    </row>
    <row r="831" ht="20.25" customHeight="1">
      <c r="A831" s="7"/>
    </row>
    <row r="832" ht="20.25" customHeight="1">
      <c r="A832" s="7"/>
    </row>
    <row r="833" ht="20.25" customHeight="1">
      <c r="A833" s="7"/>
    </row>
    <row r="834" ht="20.25" customHeight="1">
      <c r="A834" s="7"/>
    </row>
    <row r="835" ht="20.25" customHeight="1">
      <c r="A835" s="7"/>
    </row>
    <row r="836" ht="20.25" customHeight="1">
      <c r="A836" s="7"/>
    </row>
    <row r="837" ht="20.25" customHeight="1">
      <c r="A837" s="7"/>
    </row>
    <row r="838" ht="20.25" customHeight="1">
      <c r="A838" s="7"/>
    </row>
    <row r="839" ht="20.25" customHeight="1">
      <c r="A839" s="7"/>
    </row>
    <row r="840" ht="20.25" customHeight="1">
      <c r="A840" s="7"/>
    </row>
    <row r="841" ht="20.25" customHeight="1">
      <c r="A841" s="7"/>
    </row>
    <row r="842" ht="20.25" customHeight="1">
      <c r="A842" s="7"/>
    </row>
    <row r="843" ht="20.25" customHeight="1">
      <c r="A843" s="7"/>
    </row>
    <row r="844" ht="20.25" customHeight="1">
      <c r="A844" s="7"/>
    </row>
    <row r="845" ht="20.25" customHeight="1">
      <c r="A845" s="7"/>
    </row>
    <row r="846" ht="20.25" customHeight="1">
      <c r="A846" s="7"/>
    </row>
    <row r="847" ht="20.25" customHeight="1">
      <c r="A847" s="7"/>
    </row>
    <row r="848" ht="20.25" customHeight="1">
      <c r="A848" s="7"/>
    </row>
    <row r="849" ht="20.25" customHeight="1">
      <c r="A849" s="7"/>
    </row>
    <row r="850" ht="20.25" customHeight="1">
      <c r="A850" s="7"/>
    </row>
    <row r="851" ht="20.25" customHeight="1">
      <c r="A851" s="7"/>
    </row>
    <row r="852" ht="20.25" customHeight="1">
      <c r="A852" s="7"/>
    </row>
    <row r="853" ht="20.25" customHeight="1">
      <c r="A853" s="7"/>
    </row>
    <row r="854" ht="20.25" customHeight="1">
      <c r="A854" s="7"/>
    </row>
    <row r="855" ht="20.25" customHeight="1">
      <c r="A855" s="7"/>
    </row>
    <row r="856" ht="20.25" customHeight="1">
      <c r="A856" s="7"/>
    </row>
    <row r="857" ht="20.25" customHeight="1">
      <c r="A857" s="7"/>
    </row>
    <row r="858" ht="20.25" customHeight="1">
      <c r="A858" s="7"/>
    </row>
    <row r="859" ht="20.25" customHeight="1">
      <c r="A859" s="7"/>
    </row>
    <row r="860" ht="20.25" customHeight="1">
      <c r="A860" s="7"/>
    </row>
    <row r="861" ht="20.25" customHeight="1">
      <c r="A861" s="7"/>
    </row>
    <row r="862" ht="20.25" customHeight="1">
      <c r="A862" s="7"/>
    </row>
    <row r="863" ht="20.25" customHeight="1">
      <c r="A863" s="7"/>
    </row>
    <row r="864" ht="20.25" customHeight="1">
      <c r="A864" s="7"/>
    </row>
    <row r="865" ht="20.25" customHeight="1">
      <c r="A865" s="7"/>
    </row>
    <row r="866" ht="20.25" customHeight="1">
      <c r="A866" s="7"/>
    </row>
    <row r="867" ht="20.25" customHeight="1">
      <c r="A867" s="7"/>
    </row>
    <row r="868" ht="20.25" customHeight="1">
      <c r="A868" s="7"/>
    </row>
    <row r="869" ht="20.25" customHeight="1">
      <c r="A869" s="7"/>
    </row>
    <row r="870" ht="20.25" customHeight="1">
      <c r="A870" s="7"/>
    </row>
    <row r="871" ht="20.25" customHeight="1">
      <c r="A871" s="7"/>
    </row>
    <row r="872" ht="20.25" customHeight="1">
      <c r="A872" s="7"/>
    </row>
    <row r="873" ht="20.25" customHeight="1">
      <c r="A873" s="7"/>
    </row>
    <row r="874" ht="20.25" customHeight="1">
      <c r="A874" s="7"/>
    </row>
    <row r="875" ht="20.25" customHeight="1">
      <c r="A875" s="7"/>
    </row>
    <row r="876" ht="20.25" customHeight="1">
      <c r="A876" s="7"/>
    </row>
    <row r="877" ht="20.25" customHeight="1">
      <c r="A877" s="7"/>
    </row>
    <row r="878" ht="20.25" customHeight="1">
      <c r="A878" s="7"/>
    </row>
    <row r="879" ht="20.25" customHeight="1">
      <c r="A879" s="7"/>
    </row>
    <row r="880" ht="20.25" customHeight="1">
      <c r="A880" s="7"/>
    </row>
    <row r="881" ht="20.25" customHeight="1">
      <c r="A881" s="7"/>
    </row>
    <row r="882" ht="20.25" customHeight="1">
      <c r="A882" s="7"/>
    </row>
    <row r="883" ht="20.25" customHeight="1">
      <c r="A883" s="7"/>
    </row>
    <row r="884" ht="20.25" customHeight="1">
      <c r="A884" s="7"/>
    </row>
    <row r="885" ht="20.25" customHeight="1">
      <c r="A885" s="7"/>
    </row>
    <row r="886" ht="20.25" customHeight="1">
      <c r="A886" s="7"/>
    </row>
    <row r="887" ht="20.25" customHeight="1">
      <c r="A887" s="7"/>
    </row>
    <row r="888" ht="20.25" customHeight="1">
      <c r="A888" s="7"/>
    </row>
    <row r="889" ht="20.25" customHeight="1">
      <c r="A889" s="7"/>
    </row>
    <row r="890" ht="20.25" customHeight="1">
      <c r="A890" s="7"/>
    </row>
    <row r="891" ht="20.25" customHeight="1">
      <c r="A891" s="7"/>
    </row>
    <row r="892" ht="20.25" customHeight="1">
      <c r="A892" s="7"/>
    </row>
    <row r="893" ht="20.25" customHeight="1">
      <c r="A893" s="7"/>
    </row>
    <row r="894" ht="20.25" customHeight="1">
      <c r="A894" s="7"/>
    </row>
    <row r="895" ht="20.25" customHeight="1">
      <c r="A895" s="7"/>
    </row>
    <row r="896" ht="20.25" customHeight="1">
      <c r="A896" s="7"/>
    </row>
    <row r="897" ht="20.25" customHeight="1">
      <c r="A897" s="7"/>
    </row>
    <row r="898" ht="20.25" customHeight="1">
      <c r="A898" s="7"/>
    </row>
    <row r="899" ht="20.25" customHeight="1">
      <c r="A899" s="7"/>
    </row>
    <row r="900" ht="20.25" customHeight="1">
      <c r="A900" s="7"/>
    </row>
    <row r="901" ht="20.25" customHeight="1">
      <c r="A901" s="7"/>
    </row>
    <row r="902" ht="20.25" customHeight="1">
      <c r="A902" s="7"/>
    </row>
    <row r="903" ht="20.25" customHeight="1">
      <c r="A903" s="7"/>
    </row>
    <row r="904" ht="20.25" customHeight="1">
      <c r="A904" s="7"/>
    </row>
    <row r="905" ht="20.25" customHeight="1">
      <c r="A905" s="7"/>
    </row>
    <row r="906" ht="20.25" customHeight="1">
      <c r="A906" s="7"/>
    </row>
    <row r="907" ht="20.25" customHeight="1">
      <c r="A907" s="7"/>
    </row>
    <row r="908" ht="20.25" customHeight="1">
      <c r="A908" s="7"/>
    </row>
    <row r="909" ht="20.25" customHeight="1">
      <c r="A909" s="7"/>
    </row>
    <row r="910" ht="20.25" customHeight="1">
      <c r="A910" s="7"/>
    </row>
    <row r="911" ht="20.25" customHeight="1">
      <c r="A911" s="7"/>
    </row>
    <row r="912" ht="20.25" customHeight="1">
      <c r="A912" s="7"/>
    </row>
    <row r="913" ht="20.25" customHeight="1">
      <c r="A913" s="7"/>
    </row>
    <row r="914" ht="20.25" customHeight="1">
      <c r="A914" s="7"/>
    </row>
    <row r="915" ht="20.25" customHeight="1">
      <c r="A915" s="7"/>
    </row>
    <row r="916" ht="20.25" customHeight="1">
      <c r="A916" s="7"/>
    </row>
    <row r="917" ht="20.25" customHeight="1">
      <c r="A917" s="7"/>
    </row>
    <row r="918" ht="20.25" customHeight="1">
      <c r="A918" s="7"/>
    </row>
    <row r="919" ht="20.25" customHeight="1">
      <c r="A919" s="7"/>
    </row>
    <row r="920" ht="20.25" customHeight="1">
      <c r="A920" s="7"/>
    </row>
    <row r="921" ht="20.25" customHeight="1">
      <c r="A921" s="7"/>
    </row>
    <row r="922" ht="20.25" customHeight="1">
      <c r="A922" s="7"/>
    </row>
    <row r="923" ht="20.25" customHeight="1">
      <c r="A923" s="7"/>
    </row>
    <row r="924" ht="20.25" customHeight="1">
      <c r="A924" s="7"/>
    </row>
    <row r="925" ht="20.25" customHeight="1">
      <c r="A925" s="7"/>
    </row>
    <row r="926" ht="20.25" customHeight="1">
      <c r="A926" s="7"/>
    </row>
    <row r="927" ht="20.25" customHeight="1">
      <c r="A927" s="7"/>
    </row>
    <row r="928" ht="20.25" customHeight="1">
      <c r="A928" s="7"/>
    </row>
    <row r="929" ht="20.25" customHeight="1">
      <c r="A929" s="7"/>
    </row>
    <row r="930" ht="20.25" customHeight="1">
      <c r="A930" s="7"/>
    </row>
    <row r="931" ht="20.25" customHeight="1">
      <c r="A931" s="7"/>
    </row>
    <row r="932" ht="20.25" customHeight="1">
      <c r="A932" s="7"/>
    </row>
    <row r="933" ht="20.25" customHeight="1">
      <c r="A933" s="7"/>
    </row>
    <row r="934" ht="20.25" customHeight="1">
      <c r="A934" s="7"/>
    </row>
    <row r="935" ht="20.25" customHeight="1">
      <c r="A935" s="7"/>
    </row>
    <row r="936" ht="20.25" customHeight="1">
      <c r="A936" s="7"/>
    </row>
    <row r="937" ht="20.25" customHeight="1">
      <c r="A937" s="7"/>
    </row>
    <row r="938" ht="20.25" customHeight="1">
      <c r="A938" s="7"/>
    </row>
    <row r="939" ht="20.25" customHeight="1">
      <c r="A939" s="7"/>
    </row>
    <row r="940" ht="20.25" customHeight="1">
      <c r="A940" s="7"/>
    </row>
    <row r="941" ht="20.25" customHeight="1">
      <c r="A941" s="7"/>
    </row>
    <row r="942" ht="20.25" customHeight="1">
      <c r="A942" s="7"/>
    </row>
    <row r="943" ht="20.25" customHeight="1">
      <c r="A943" s="7"/>
    </row>
    <row r="944" ht="20.25" customHeight="1">
      <c r="A944" s="7"/>
    </row>
    <row r="945" ht="20.25" customHeight="1">
      <c r="A945" s="7"/>
    </row>
    <row r="946" ht="20.25" customHeight="1">
      <c r="A946" s="7"/>
    </row>
    <row r="947" ht="20.25" customHeight="1">
      <c r="A947" s="7"/>
    </row>
    <row r="948" ht="20.25" customHeight="1">
      <c r="A948" s="7"/>
    </row>
    <row r="949" ht="20.25" customHeight="1">
      <c r="A949" s="7"/>
    </row>
    <row r="950" ht="20.25" customHeight="1">
      <c r="A950" s="7"/>
    </row>
    <row r="951" ht="20.25" customHeight="1">
      <c r="A951" s="7"/>
    </row>
    <row r="952" ht="20.25" customHeight="1">
      <c r="A952" s="7"/>
    </row>
    <row r="953" ht="20.25" customHeight="1">
      <c r="A953" s="7"/>
    </row>
    <row r="954" ht="20.25" customHeight="1">
      <c r="A954" s="7"/>
    </row>
    <row r="955" ht="20.25" customHeight="1">
      <c r="A955" s="7"/>
    </row>
    <row r="956" ht="20.25" customHeight="1">
      <c r="A956" s="7"/>
    </row>
    <row r="957" ht="20.25" customHeight="1">
      <c r="A957" s="7"/>
    </row>
    <row r="958" ht="20.25" customHeight="1">
      <c r="A958" s="7"/>
    </row>
    <row r="959" ht="20.25" customHeight="1">
      <c r="A959" s="7"/>
    </row>
    <row r="960" ht="20.25" customHeight="1">
      <c r="A960" s="7"/>
    </row>
    <row r="961" ht="20.25" customHeight="1">
      <c r="A961" s="7"/>
    </row>
    <row r="962" ht="20.25" customHeight="1">
      <c r="A962" s="7"/>
    </row>
    <row r="963" ht="20.25" customHeight="1">
      <c r="A963" s="7"/>
    </row>
    <row r="964" ht="20.25" customHeight="1">
      <c r="A964" s="7"/>
    </row>
    <row r="965" ht="20.25" customHeight="1">
      <c r="A965" s="7"/>
    </row>
    <row r="966" ht="20.25" customHeight="1">
      <c r="A966" s="7"/>
    </row>
    <row r="967" ht="20.25" customHeight="1">
      <c r="A967" s="7"/>
    </row>
    <row r="968" ht="20.25" customHeight="1">
      <c r="A968" s="7"/>
    </row>
    <row r="969" ht="20.25" customHeight="1">
      <c r="A969" s="7"/>
    </row>
    <row r="970" ht="20.25" customHeight="1">
      <c r="A970" s="7"/>
    </row>
    <row r="971" ht="20.25" customHeight="1">
      <c r="A971" s="7"/>
    </row>
    <row r="972" ht="20.25" customHeight="1">
      <c r="A972" s="7"/>
    </row>
    <row r="973" ht="20.25" customHeight="1">
      <c r="A973" s="7"/>
    </row>
    <row r="974" ht="20.25" customHeight="1">
      <c r="A974" s="7"/>
    </row>
    <row r="975" ht="20.25" customHeight="1">
      <c r="A975" s="7"/>
    </row>
    <row r="976" ht="20.25" customHeight="1">
      <c r="A976" s="7"/>
    </row>
    <row r="977" ht="20.25" customHeight="1">
      <c r="A977" s="7"/>
    </row>
    <row r="978" ht="20.25" customHeight="1">
      <c r="A978" s="7"/>
    </row>
    <row r="979" ht="20.25" customHeight="1">
      <c r="A979" s="7"/>
    </row>
    <row r="980" ht="20.25" customHeight="1">
      <c r="A980" s="7"/>
    </row>
    <row r="981" ht="20.25" customHeight="1">
      <c r="A981" s="7"/>
    </row>
    <row r="982" ht="20.25" customHeight="1">
      <c r="A982" s="7"/>
    </row>
    <row r="983" ht="20.25" customHeight="1">
      <c r="A983" s="7"/>
    </row>
    <row r="984" ht="20.25" customHeight="1">
      <c r="A984" s="7"/>
    </row>
    <row r="985" ht="20.25" customHeight="1">
      <c r="A985" s="7"/>
    </row>
    <row r="986" ht="20.25" customHeight="1">
      <c r="A986" s="7"/>
    </row>
    <row r="987" ht="20.25" customHeight="1">
      <c r="A987" s="7"/>
    </row>
    <row r="988" ht="20.25" customHeight="1">
      <c r="A988" s="7"/>
    </row>
    <row r="989" ht="20.25" customHeight="1">
      <c r="A989" s="7"/>
    </row>
    <row r="990" ht="20.25" customHeight="1">
      <c r="A990" s="7"/>
    </row>
    <row r="991" ht="20.25" customHeight="1">
      <c r="A991" s="7"/>
    </row>
    <row r="992" ht="20.25" customHeight="1">
      <c r="A992" s="7"/>
    </row>
    <row r="993" ht="20.25" customHeight="1">
      <c r="A993" s="7"/>
    </row>
    <row r="994" ht="20.25" customHeight="1">
      <c r="A994" s="7"/>
    </row>
    <row r="995" ht="20.25" customHeight="1">
      <c r="A995" s="7"/>
    </row>
    <row r="996" ht="20.25" customHeight="1">
      <c r="A996" s="7"/>
    </row>
    <row r="997" ht="20.25" customHeight="1">
      <c r="A997" s="7"/>
    </row>
    <row r="998" ht="20.25" customHeight="1">
      <c r="A998" s="7"/>
    </row>
    <row r="999" ht="20.25" customHeight="1">
      <c r="A999" s="7"/>
    </row>
    <row r="1000" ht="20.25" customHeight="1">
      <c r="A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6" width="8.5"/>
  </cols>
  <sheetData>
    <row r="1" ht="22.5" customHeight="1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9" t="s">
        <v>11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8">
        <v>1.0</v>
      </c>
      <c r="B2" s="6">
        <f>'条件'!$B$5</f>
        <v>31673.21864</v>
      </c>
      <c r="C2" s="6">
        <f>'条件'!$B$1*'条件'!$B$4</f>
        <v>12250</v>
      </c>
      <c r="D2" s="6">
        <f t="shared" ref="D2:D121" si="1">B2-C2</f>
        <v>19423.21864</v>
      </c>
      <c r="E2" s="6">
        <f>'条件'!$B$1-D2</f>
        <v>2980576.781</v>
      </c>
      <c r="F2" s="6">
        <f> B2</f>
        <v>31673.21864</v>
      </c>
    </row>
    <row r="3" ht="22.5" customHeight="1">
      <c r="A3" s="11">
        <f t="shared" ref="A3:A121" si="2">A2+1</f>
        <v>2</v>
      </c>
      <c r="B3" s="12">
        <f>'条件'!$B$5</f>
        <v>31673.21864</v>
      </c>
      <c r="C3" s="12">
        <f>E2*'条件'!$B$4</f>
        <v>12170.68852</v>
      </c>
      <c r="D3" s="12">
        <f t="shared" si="1"/>
        <v>19502.53012</v>
      </c>
      <c r="E3" s="12">
        <f t="shared" ref="E3:E121" si="3">E2-D3</f>
        <v>2961074.251</v>
      </c>
      <c r="F3" s="6">
        <f t="shared" ref="F3:F121" si="4"> F2 + B3</f>
        <v>63346.43728</v>
      </c>
    </row>
    <row r="4" ht="22.5" customHeight="1">
      <c r="A4" s="11">
        <f t="shared" si="2"/>
        <v>3</v>
      </c>
      <c r="B4" s="12">
        <f>'条件'!$B$5</f>
        <v>31673.21864</v>
      </c>
      <c r="C4" s="12">
        <f>E3*'条件'!$B$4</f>
        <v>12091.05319</v>
      </c>
      <c r="D4" s="12">
        <f t="shared" si="1"/>
        <v>19582.16545</v>
      </c>
      <c r="E4" s="12">
        <f t="shared" si="3"/>
        <v>2941492.086</v>
      </c>
      <c r="F4" s="6">
        <f t="shared" si="4"/>
        <v>95019.65592</v>
      </c>
    </row>
    <row r="5" ht="22.5" customHeight="1">
      <c r="A5" s="11">
        <f t="shared" si="2"/>
        <v>4</v>
      </c>
      <c r="B5" s="12">
        <f>'条件'!$B$5</f>
        <v>31673.21864</v>
      </c>
      <c r="C5" s="12">
        <f>E4*'条件'!$B$4</f>
        <v>12011.09268</v>
      </c>
      <c r="D5" s="12">
        <f t="shared" si="1"/>
        <v>19662.12596</v>
      </c>
      <c r="E5" s="12">
        <f t="shared" si="3"/>
        <v>2921829.96</v>
      </c>
      <c r="F5" s="6">
        <f t="shared" si="4"/>
        <v>126692.8746</v>
      </c>
    </row>
    <row r="6" ht="22.5" customHeight="1">
      <c r="A6" s="11">
        <f t="shared" si="2"/>
        <v>5</v>
      </c>
      <c r="B6" s="12">
        <f>'条件'!$B$5</f>
        <v>31673.21864</v>
      </c>
      <c r="C6" s="12">
        <f>E5*'条件'!$B$4</f>
        <v>11930.80567</v>
      </c>
      <c r="D6" s="12">
        <f t="shared" si="1"/>
        <v>19742.41297</v>
      </c>
      <c r="E6" s="12">
        <f t="shared" si="3"/>
        <v>2902087.547</v>
      </c>
      <c r="F6" s="6">
        <f t="shared" si="4"/>
        <v>158366.0932</v>
      </c>
    </row>
    <row r="7" ht="22.5" customHeight="1">
      <c r="A7" s="11">
        <f t="shared" si="2"/>
        <v>6</v>
      </c>
      <c r="B7" s="12">
        <f>'条件'!$B$5</f>
        <v>31673.21864</v>
      </c>
      <c r="C7" s="12">
        <f>E6*'条件'!$B$4</f>
        <v>11850.19082</v>
      </c>
      <c r="D7" s="12">
        <f t="shared" si="1"/>
        <v>19823.02783</v>
      </c>
      <c r="E7" s="12">
        <f t="shared" si="3"/>
        <v>2882264.519</v>
      </c>
      <c r="F7" s="6">
        <f t="shared" si="4"/>
        <v>190039.3118</v>
      </c>
    </row>
    <row r="8" ht="22.5" customHeight="1">
      <c r="A8" s="11">
        <f t="shared" si="2"/>
        <v>7</v>
      </c>
      <c r="B8" s="12">
        <f>'条件'!$B$5</f>
        <v>31673.21864</v>
      </c>
      <c r="C8" s="12">
        <f>E7*'条件'!$B$4</f>
        <v>11769.24679</v>
      </c>
      <c r="D8" s="12">
        <f t="shared" si="1"/>
        <v>19903.97186</v>
      </c>
      <c r="E8" s="12">
        <f t="shared" si="3"/>
        <v>2862360.547</v>
      </c>
      <c r="F8" s="6">
        <f t="shared" si="4"/>
        <v>221712.5305</v>
      </c>
    </row>
    <row r="9" ht="22.5" customHeight="1">
      <c r="A9" s="11">
        <f t="shared" si="2"/>
        <v>8</v>
      </c>
      <c r="B9" s="12">
        <f>'条件'!$B$5</f>
        <v>31673.21864</v>
      </c>
      <c r="C9" s="12">
        <f>E8*'条件'!$B$4</f>
        <v>11687.97223</v>
      </c>
      <c r="D9" s="12">
        <f t="shared" si="1"/>
        <v>19985.24641</v>
      </c>
      <c r="E9" s="12">
        <f t="shared" si="3"/>
        <v>2842375.301</v>
      </c>
      <c r="F9" s="6">
        <f t="shared" si="4"/>
        <v>253385.7491</v>
      </c>
    </row>
    <row r="10" ht="22.5" customHeight="1">
      <c r="A10" s="11">
        <f t="shared" si="2"/>
        <v>9</v>
      </c>
      <c r="B10" s="12">
        <f>'条件'!$B$5</f>
        <v>31673.21864</v>
      </c>
      <c r="C10" s="12">
        <f>E9*'条件'!$B$4</f>
        <v>11606.36581</v>
      </c>
      <c r="D10" s="12">
        <f t="shared" si="1"/>
        <v>20066.85283</v>
      </c>
      <c r="E10" s="12">
        <f t="shared" si="3"/>
        <v>2822308.448</v>
      </c>
      <c r="F10" s="6">
        <f t="shared" si="4"/>
        <v>285058.9678</v>
      </c>
    </row>
    <row r="11" ht="22.5" customHeight="1">
      <c r="A11" s="11">
        <f t="shared" si="2"/>
        <v>10</v>
      </c>
      <c r="B11" s="12">
        <f>'条件'!$B$5</f>
        <v>31673.21864</v>
      </c>
      <c r="C11" s="12">
        <f>E10*'条件'!$B$4</f>
        <v>11524.42616</v>
      </c>
      <c r="D11" s="12">
        <f t="shared" si="1"/>
        <v>20148.79248</v>
      </c>
      <c r="E11" s="12">
        <f t="shared" si="3"/>
        <v>2802159.655</v>
      </c>
      <c r="F11" s="6">
        <f t="shared" si="4"/>
        <v>316732.1864</v>
      </c>
    </row>
    <row r="12" ht="22.5" customHeight="1">
      <c r="A12" s="11">
        <f t="shared" si="2"/>
        <v>11</v>
      </c>
      <c r="B12" s="12">
        <f>'条件'!$B$5</f>
        <v>31673.21864</v>
      </c>
      <c r="C12" s="12">
        <f>E11*'条件'!$B$4</f>
        <v>11442.15193</v>
      </c>
      <c r="D12" s="12">
        <f t="shared" si="1"/>
        <v>20231.06672</v>
      </c>
      <c r="E12" s="12">
        <f t="shared" si="3"/>
        <v>2781928.589</v>
      </c>
      <c r="F12" s="6">
        <f t="shared" si="4"/>
        <v>348405.4051</v>
      </c>
    </row>
    <row r="13" ht="22.5" customHeight="1">
      <c r="A13" s="11">
        <f t="shared" si="2"/>
        <v>12</v>
      </c>
      <c r="B13" s="12">
        <f>'条件'!$B$5</f>
        <v>31673.21864</v>
      </c>
      <c r="C13" s="12">
        <f>E12*'条件'!$B$4</f>
        <v>11359.54174</v>
      </c>
      <c r="D13" s="12">
        <f t="shared" si="1"/>
        <v>20313.6769</v>
      </c>
      <c r="E13" s="12">
        <f t="shared" si="3"/>
        <v>2761614.912</v>
      </c>
      <c r="F13" s="6">
        <f t="shared" si="4"/>
        <v>380078.6237</v>
      </c>
    </row>
    <row r="14" ht="22.5" customHeight="1">
      <c r="A14" s="11">
        <f t="shared" si="2"/>
        <v>13</v>
      </c>
      <c r="B14" s="12">
        <f>'条件'!$B$5</f>
        <v>31673.21864</v>
      </c>
      <c r="C14" s="12">
        <f>E13*'条件'!$B$4</f>
        <v>11276.59422</v>
      </c>
      <c r="D14" s="12">
        <f t="shared" si="1"/>
        <v>20396.62442</v>
      </c>
      <c r="E14" s="12">
        <f t="shared" si="3"/>
        <v>2741218.287</v>
      </c>
      <c r="F14" s="6">
        <f t="shared" si="4"/>
        <v>411751.8423</v>
      </c>
    </row>
    <row r="15" ht="22.5" customHeight="1">
      <c r="A15" s="11">
        <f t="shared" si="2"/>
        <v>14</v>
      </c>
      <c r="B15" s="12">
        <f>'条件'!$B$5</f>
        <v>31673.21864</v>
      </c>
      <c r="C15" s="12">
        <f>E14*'条件'!$B$4</f>
        <v>11193.30801</v>
      </c>
      <c r="D15" s="12">
        <f t="shared" si="1"/>
        <v>20479.91063</v>
      </c>
      <c r="E15" s="12">
        <f t="shared" si="3"/>
        <v>2720738.377</v>
      </c>
      <c r="F15" s="6">
        <f t="shared" si="4"/>
        <v>443425.061</v>
      </c>
    </row>
    <row r="16" ht="22.5" customHeight="1">
      <c r="A16" s="11">
        <f t="shared" si="2"/>
        <v>15</v>
      </c>
      <c r="B16" s="12">
        <f>'条件'!$B$5</f>
        <v>31673.21864</v>
      </c>
      <c r="C16" s="12">
        <f>E15*'条件'!$B$4</f>
        <v>11109.68171</v>
      </c>
      <c r="D16" s="12">
        <f t="shared" si="1"/>
        <v>20563.53694</v>
      </c>
      <c r="E16" s="12">
        <f t="shared" si="3"/>
        <v>2700174.84</v>
      </c>
      <c r="F16" s="6">
        <f t="shared" si="4"/>
        <v>475098.2796</v>
      </c>
    </row>
    <row r="17" ht="22.5" customHeight="1">
      <c r="A17" s="11">
        <f t="shared" si="2"/>
        <v>16</v>
      </c>
      <c r="B17" s="12">
        <f>'条件'!$B$5</f>
        <v>31673.21864</v>
      </c>
      <c r="C17" s="12">
        <f>E16*'条件'!$B$4</f>
        <v>11025.71393</v>
      </c>
      <c r="D17" s="12">
        <f t="shared" si="1"/>
        <v>20647.50471</v>
      </c>
      <c r="E17" s="12">
        <f t="shared" si="3"/>
        <v>2679527.335</v>
      </c>
      <c r="F17" s="6">
        <f t="shared" si="4"/>
        <v>506771.4983</v>
      </c>
    </row>
    <row r="18" ht="22.5" customHeight="1">
      <c r="A18" s="11">
        <f t="shared" si="2"/>
        <v>17</v>
      </c>
      <c r="B18" s="12">
        <f>'条件'!$B$5</f>
        <v>31673.21864</v>
      </c>
      <c r="C18" s="12">
        <f>E17*'条件'!$B$4</f>
        <v>10941.40329</v>
      </c>
      <c r="D18" s="12">
        <f t="shared" si="1"/>
        <v>20731.81536</v>
      </c>
      <c r="E18" s="12">
        <f t="shared" si="3"/>
        <v>2658795.52</v>
      </c>
      <c r="F18" s="6">
        <f t="shared" si="4"/>
        <v>538444.7169</v>
      </c>
    </row>
    <row r="19" ht="22.5" customHeight="1">
      <c r="A19" s="11">
        <f t="shared" si="2"/>
        <v>18</v>
      </c>
      <c r="B19" s="12">
        <f>'条件'!$B$5</f>
        <v>31673.21864</v>
      </c>
      <c r="C19" s="12">
        <f>E18*'条件'!$B$4</f>
        <v>10856.74837</v>
      </c>
      <c r="D19" s="12">
        <f t="shared" si="1"/>
        <v>20816.47027</v>
      </c>
      <c r="E19" s="12">
        <f t="shared" si="3"/>
        <v>2637979.05</v>
      </c>
      <c r="F19" s="6">
        <f t="shared" si="4"/>
        <v>570117.9355</v>
      </c>
    </row>
    <row r="20" ht="22.5" customHeight="1">
      <c r="A20" s="11">
        <f t="shared" si="2"/>
        <v>19</v>
      </c>
      <c r="B20" s="12">
        <f>'条件'!$B$5</f>
        <v>31673.21864</v>
      </c>
      <c r="C20" s="12">
        <f>E19*'条件'!$B$4</f>
        <v>10771.74779</v>
      </c>
      <c r="D20" s="12">
        <f t="shared" si="1"/>
        <v>20901.47086</v>
      </c>
      <c r="E20" s="12">
        <f t="shared" si="3"/>
        <v>2617077.579</v>
      </c>
      <c r="F20" s="6">
        <f t="shared" si="4"/>
        <v>601791.1542</v>
      </c>
    </row>
    <row r="21" ht="22.5" customHeight="1">
      <c r="A21" s="11">
        <f t="shared" si="2"/>
        <v>20</v>
      </c>
      <c r="B21" s="12">
        <f>'条件'!$B$5</f>
        <v>31673.21864</v>
      </c>
      <c r="C21" s="12">
        <f>E20*'条件'!$B$4</f>
        <v>10686.40011</v>
      </c>
      <c r="D21" s="12">
        <f t="shared" si="1"/>
        <v>20986.81853</v>
      </c>
      <c r="E21" s="12">
        <f t="shared" si="3"/>
        <v>2596090.76</v>
      </c>
      <c r="F21" s="6">
        <f t="shared" si="4"/>
        <v>633464.3728</v>
      </c>
    </row>
    <row r="22" ht="22.5" customHeight="1">
      <c r="A22" s="11">
        <f t="shared" si="2"/>
        <v>21</v>
      </c>
      <c r="B22" s="12">
        <f>'条件'!$B$5</f>
        <v>31673.21864</v>
      </c>
      <c r="C22" s="12">
        <f>E21*'条件'!$B$4</f>
        <v>10600.70394</v>
      </c>
      <c r="D22" s="12">
        <f t="shared" si="1"/>
        <v>21072.5147</v>
      </c>
      <c r="E22" s="12">
        <f t="shared" si="3"/>
        <v>2575018.245</v>
      </c>
      <c r="F22" s="6">
        <f t="shared" si="4"/>
        <v>665137.5915</v>
      </c>
    </row>
    <row r="23" ht="22.5" customHeight="1">
      <c r="A23" s="11">
        <f t="shared" si="2"/>
        <v>22</v>
      </c>
      <c r="B23" s="12">
        <f>'条件'!$B$5</f>
        <v>31673.21864</v>
      </c>
      <c r="C23" s="12">
        <f>E22*'条件'!$B$4</f>
        <v>10514.65784</v>
      </c>
      <c r="D23" s="12">
        <f t="shared" si="1"/>
        <v>21158.56081</v>
      </c>
      <c r="E23" s="12">
        <f t="shared" si="3"/>
        <v>2553859.685</v>
      </c>
      <c r="F23" s="6">
        <f t="shared" si="4"/>
        <v>696810.8101</v>
      </c>
    </row>
    <row r="24" ht="22.5" customHeight="1">
      <c r="A24" s="11">
        <f t="shared" si="2"/>
        <v>23</v>
      </c>
      <c r="B24" s="12">
        <f>'条件'!$B$5</f>
        <v>31673.21864</v>
      </c>
      <c r="C24" s="12">
        <f>E23*'条件'!$B$4</f>
        <v>10428.26038</v>
      </c>
      <c r="D24" s="12">
        <f t="shared" si="1"/>
        <v>21244.95826</v>
      </c>
      <c r="E24" s="12">
        <f t="shared" si="3"/>
        <v>2532614.726</v>
      </c>
      <c r="F24" s="6">
        <f t="shared" si="4"/>
        <v>728484.0288</v>
      </c>
    </row>
    <row r="25" ht="22.5" customHeight="1">
      <c r="A25" s="11">
        <f t="shared" si="2"/>
        <v>24</v>
      </c>
      <c r="B25" s="12">
        <f>'条件'!$B$5</f>
        <v>31673.21864</v>
      </c>
      <c r="C25" s="12">
        <f>E24*'条件'!$B$4</f>
        <v>10341.51013</v>
      </c>
      <c r="D25" s="12">
        <f t="shared" si="1"/>
        <v>21331.70851</v>
      </c>
      <c r="E25" s="12">
        <f t="shared" si="3"/>
        <v>2511283.018</v>
      </c>
      <c r="F25" s="6">
        <f t="shared" si="4"/>
        <v>760157.2474</v>
      </c>
    </row>
    <row r="26" ht="22.5" customHeight="1">
      <c r="A26" s="11">
        <f t="shared" si="2"/>
        <v>25</v>
      </c>
      <c r="B26" s="12">
        <f>'条件'!$B$5</f>
        <v>31673.21864</v>
      </c>
      <c r="C26" s="12">
        <f>E25*'条件'!$B$4</f>
        <v>10254.40566</v>
      </c>
      <c r="D26" s="12">
        <f t="shared" si="1"/>
        <v>21418.81299</v>
      </c>
      <c r="E26" s="12">
        <f t="shared" si="3"/>
        <v>2489864.205</v>
      </c>
      <c r="F26" s="6">
        <f t="shared" si="4"/>
        <v>791830.466</v>
      </c>
    </row>
    <row r="27" ht="22.5" customHeight="1">
      <c r="A27" s="11">
        <f t="shared" si="2"/>
        <v>26</v>
      </c>
      <c r="B27" s="12">
        <f>'条件'!$B$5</f>
        <v>31673.21864</v>
      </c>
      <c r="C27" s="12">
        <f>E26*'条件'!$B$4</f>
        <v>10166.9455</v>
      </c>
      <c r="D27" s="12">
        <f t="shared" si="1"/>
        <v>21506.27314</v>
      </c>
      <c r="E27" s="12">
        <f t="shared" si="3"/>
        <v>2468357.932</v>
      </c>
      <c r="F27" s="6">
        <f t="shared" si="4"/>
        <v>823503.6847</v>
      </c>
    </row>
    <row r="28" ht="22.5" customHeight="1">
      <c r="A28" s="11">
        <f t="shared" si="2"/>
        <v>27</v>
      </c>
      <c r="B28" s="12">
        <f>'条件'!$B$5</f>
        <v>31673.21864</v>
      </c>
      <c r="C28" s="12">
        <f>E27*'条件'!$B$4</f>
        <v>10079.12822</v>
      </c>
      <c r="D28" s="12">
        <f t="shared" si="1"/>
        <v>21594.09042</v>
      </c>
      <c r="E28" s="12">
        <f t="shared" si="3"/>
        <v>2446763.841</v>
      </c>
      <c r="F28" s="6">
        <f t="shared" si="4"/>
        <v>855176.9033</v>
      </c>
    </row>
    <row r="29" ht="22.5" customHeight="1">
      <c r="A29" s="11">
        <f t="shared" si="2"/>
        <v>28</v>
      </c>
      <c r="B29" s="12">
        <f>'条件'!$B$5</f>
        <v>31673.21864</v>
      </c>
      <c r="C29" s="12">
        <f>E28*'条件'!$B$4</f>
        <v>9990.952352</v>
      </c>
      <c r="D29" s="12">
        <f t="shared" si="1"/>
        <v>21682.26629</v>
      </c>
      <c r="E29" s="12">
        <f t="shared" si="3"/>
        <v>2425081.575</v>
      </c>
      <c r="F29" s="6">
        <f t="shared" si="4"/>
        <v>886850.122</v>
      </c>
    </row>
    <row r="30" ht="22.5" customHeight="1">
      <c r="A30" s="11">
        <f t="shared" si="2"/>
        <v>29</v>
      </c>
      <c r="B30" s="12">
        <f>'条件'!$B$5</f>
        <v>31673.21864</v>
      </c>
      <c r="C30" s="12">
        <f>E29*'条件'!$B$4</f>
        <v>9902.416431</v>
      </c>
      <c r="D30" s="12">
        <f t="shared" si="1"/>
        <v>21770.80221</v>
      </c>
      <c r="E30" s="12">
        <f t="shared" si="3"/>
        <v>2403310.773</v>
      </c>
      <c r="F30" s="6">
        <f t="shared" si="4"/>
        <v>918523.3406</v>
      </c>
    </row>
    <row r="31" ht="22.5" customHeight="1">
      <c r="A31" s="11">
        <f t="shared" si="2"/>
        <v>30</v>
      </c>
      <c r="B31" s="12">
        <f>'条件'!$B$5</f>
        <v>31673.21864</v>
      </c>
      <c r="C31" s="12">
        <f>E30*'条件'!$B$4</f>
        <v>9813.518989</v>
      </c>
      <c r="D31" s="12">
        <f t="shared" si="1"/>
        <v>21859.69965</v>
      </c>
      <c r="E31" s="12">
        <f t="shared" si="3"/>
        <v>2381451.073</v>
      </c>
      <c r="F31" s="6">
        <f t="shared" si="4"/>
        <v>950196.5592</v>
      </c>
    </row>
    <row r="32" ht="22.5" customHeight="1">
      <c r="A32" s="11">
        <f t="shared" si="2"/>
        <v>31</v>
      </c>
      <c r="B32" s="12">
        <f>'条件'!$B$5</f>
        <v>31673.21864</v>
      </c>
      <c r="C32" s="12">
        <f>E31*'条件'!$B$4</f>
        <v>9724.258549</v>
      </c>
      <c r="D32" s="12">
        <f t="shared" si="1"/>
        <v>21948.96009</v>
      </c>
      <c r="E32" s="12">
        <f t="shared" si="3"/>
        <v>2359502.113</v>
      </c>
      <c r="F32" s="6">
        <f t="shared" si="4"/>
        <v>981869.7779</v>
      </c>
    </row>
    <row r="33" ht="22.5" customHeight="1">
      <c r="A33" s="11">
        <f t="shared" si="2"/>
        <v>32</v>
      </c>
      <c r="B33" s="12">
        <f>'条件'!$B$5</f>
        <v>31673.21864</v>
      </c>
      <c r="C33" s="12">
        <f>E32*'条件'!$B$4</f>
        <v>9634.633628</v>
      </c>
      <c r="D33" s="12">
        <f t="shared" si="1"/>
        <v>22038.58501</v>
      </c>
      <c r="E33" s="12">
        <f t="shared" si="3"/>
        <v>2337463.528</v>
      </c>
      <c r="F33" s="6">
        <f t="shared" si="4"/>
        <v>1013542.997</v>
      </c>
    </row>
    <row r="34" ht="22.5" customHeight="1">
      <c r="A34" s="11">
        <f t="shared" si="2"/>
        <v>33</v>
      </c>
      <c r="B34" s="12">
        <f>'条件'!$B$5</f>
        <v>31673.21864</v>
      </c>
      <c r="C34" s="12">
        <f>E33*'条件'!$B$4</f>
        <v>9544.64274</v>
      </c>
      <c r="D34" s="12">
        <f t="shared" si="1"/>
        <v>22128.5759</v>
      </c>
      <c r="E34" s="12">
        <f t="shared" si="3"/>
        <v>2315334.952</v>
      </c>
      <c r="F34" s="6">
        <f t="shared" si="4"/>
        <v>1045216.215</v>
      </c>
    </row>
    <row r="35" ht="22.5" customHeight="1">
      <c r="A35" s="11">
        <f t="shared" si="2"/>
        <v>34</v>
      </c>
      <c r="B35" s="12">
        <f>'条件'!$B$5</f>
        <v>31673.21864</v>
      </c>
      <c r="C35" s="12">
        <f>E34*'条件'!$B$4</f>
        <v>9454.284388</v>
      </c>
      <c r="D35" s="12">
        <f t="shared" si="1"/>
        <v>22218.93425</v>
      </c>
      <c r="E35" s="12">
        <f t="shared" si="3"/>
        <v>2293116.018</v>
      </c>
      <c r="F35" s="6">
        <f t="shared" si="4"/>
        <v>1076889.434</v>
      </c>
    </row>
    <row r="36" ht="22.5" customHeight="1">
      <c r="A36" s="11">
        <f t="shared" si="2"/>
        <v>35</v>
      </c>
      <c r="B36" s="12">
        <f>'条件'!$B$5</f>
        <v>31673.21864</v>
      </c>
      <c r="C36" s="12">
        <f>E35*'条件'!$B$4</f>
        <v>9363.557073</v>
      </c>
      <c r="D36" s="12">
        <f t="shared" si="1"/>
        <v>22309.66157</v>
      </c>
      <c r="E36" s="12">
        <f t="shared" si="3"/>
        <v>2270806.356</v>
      </c>
      <c r="F36" s="6">
        <f t="shared" si="4"/>
        <v>1108562.652</v>
      </c>
    </row>
    <row r="37" ht="22.5" customHeight="1">
      <c r="A37" s="11">
        <f t="shared" si="2"/>
        <v>36</v>
      </c>
      <c r="B37" s="12">
        <f>'条件'!$B$5</f>
        <v>31673.21864</v>
      </c>
      <c r="C37" s="12">
        <f>E36*'条件'!$B$4</f>
        <v>9272.459288</v>
      </c>
      <c r="D37" s="12">
        <f t="shared" si="1"/>
        <v>22400.75935</v>
      </c>
      <c r="E37" s="12">
        <f t="shared" si="3"/>
        <v>2248405.597</v>
      </c>
      <c r="F37" s="6">
        <f t="shared" si="4"/>
        <v>1140235.871</v>
      </c>
    </row>
    <row r="38" ht="22.5" customHeight="1">
      <c r="A38" s="11">
        <f t="shared" si="2"/>
        <v>37</v>
      </c>
      <c r="B38" s="12">
        <f>'条件'!$B$5</f>
        <v>31673.21864</v>
      </c>
      <c r="C38" s="12">
        <f>E37*'条件'!$B$4</f>
        <v>9180.989521</v>
      </c>
      <c r="D38" s="12">
        <f t="shared" si="1"/>
        <v>22492.22912</v>
      </c>
      <c r="E38" s="12">
        <f t="shared" si="3"/>
        <v>2225913.368</v>
      </c>
      <c r="F38" s="6">
        <f t="shared" si="4"/>
        <v>1171909.09</v>
      </c>
    </row>
    <row r="39" ht="22.5" customHeight="1">
      <c r="A39" s="11">
        <f t="shared" si="2"/>
        <v>38</v>
      </c>
      <c r="B39" s="12">
        <f>'条件'!$B$5</f>
        <v>31673.21864</v>
      </c>
      <c r="C39" s="12">
        <f>E38*'条件'!$B$4</f>
        <v>9089.146252</v>
      </c>
      <c r="D39" s="12">
        <f t="shared" si="1"/>
        <v>22584.07239</v>
      </c>
      <c r="E39" s="12">
        <f t="shared" si="3"/>
        <v>2203329.295</v>
      </c>
      <c r="F39" s="6">
        <f t="shared" si="4"/>
        <v>1203582.308</v>
      </c>
    </row>
    <row r="40" ht="22.5" customHeight="1">
      <c r="A40" s="11">
        <f t="shared" si="2"/>
        <v>39</v>
      </c>
      <c r="B40" s="12">
        <f>'条件'!$B$5</f>
        <v>31673.21864</v>
      </c>
      <c r="C40" s="12">
        <f>E39*'条件'!$B$4</f>
        <v>8996.927956</v>
      </c>
      <c r="D40" s="12">
        <f t="shared" si="1"/>
        <v>22676.29069</v>
      </c>
      <c r="E40" s="12">
        <f t="shared" si="3"/>
        <v>2180653.005</v>
      </c>
      <c r="F40" s="6">
        <f t="shared" si="4"/>
        <v>1235255.527</v>
      </c>
    </row>
    <row r="41" ht="22.5" customHeight="1">
      <c r="A41" s="11">
        <f t="shared" si="2"/>
        <v>40</v>
      </c>
      <c r="B41" s="12">
        <f>'条件'!$B$5</f>
        <v>31673.21864</v>
      </c>
      <c r="C41" s="12">
        <f>E40*'条件'!$B$4</f>
        <v>8904.333103</v>
      </c>
      <c r="D41" s="12">
        <f t="shared" si="1"/>
        <v>22768.88554</v>
      </c>
      <c r="E41" s="12">
        <f t="shared" si="3"/>
        <v>2157884.119</v>
      </c>
      <c r="F41" s="6">
        <f t="shared" si="4"/>
        <v>1266928.746</v>
      </c>
    </row>
    <row r="42" ht="22.5" customHeight="1">
      <c r="A42" s="11">
        <f t="shared" si="2"/>
        <v>41</v>
      </c>
      <c r="B42" s="12">
        <f>'条件'!$B$5</f>
        <v>31673.21864</v>
      </c>
      <c r="C42" s="12">
        <f>E41*'条件'!$B$4</f>
        <v>8811.360154</v>
      </c>
      <c r="D42" s="12">
        <f t="shared" si="1"/>
        <v>22861.85849</v>
      </c>
      <c r="E42" s="12">
        <f t="shared" si="3"/>
        <v>2135022.261</v>
      </c>
      <c r="F42" s="6">
        <f t="shared" si="4"/>
        <v>1298601.964</v>
      </c>
    </row>
    <row r="43" ht="22.5" customHeight="1">
      <c r="A43" s="11">
        <f t="shared" si="2"/>
        <v>42</v>
      </c>
      <c r="B43" s="12">
        <f>'条件'!$B$5</f>
        <v>31673.21864</v>
      </c>
      <c r="C43" s="12">
        <f>E42*'条件'!$B$4</f>
        <v>8718.007565</v>
      </c>
      <c r="D43" s="12">
        <f t="shared" si="1"/>
        <v>22955.21108</v>
      </c>
      <c r="E43" s="12">
        <f t="shared" si="3"/>
        <v>2112067.05</v>
      </c>
      <c r="F43" s="6">
        <f t="shared" si="4"/>
        <v>1330275.183</v>
      </c>
    </row>
    <row r="44" ht="22.5" customHeight="1">
      <c r="A44" s="11">
        <f t="shared" si="2"/>
        <v>43</v>
      </c>
      <c r="B44" s="12">
        <f>'条件'!$B$5</f>
        <v>31673.21864</v>
      </c>
      <c r="C44" s="12">
        <f>E43*'条件'!$B$4</f>
        <v>8624.273786</v>
      </c>
      <c r="D44" s="12">
        <f t="shared" si="1"/>
        <v>23048.94486</v>
      </c>
      <c r="E44" s="12">
        <f t="shared" si="3"/>
        <v>2089018.105</v>
      </c>
      <c r="F44" s="6">
        <f t="shared" si="4"/>
        <v>1361948.402</v>
      </c>
    </row>
    <row r="45" ht="22.5" customHeight="1">
      <c r="A45" s="11">
        <f t="shared" si="2"/>
        <v>44</v>
      </c>
      <c r="B45" s="12">
        <f>'条件'!$B$5</f>
        <v>31673.21864</v>
      </c>
      <c r="C45" s="12">
        <f>E44*'条件'!$B$4</f>
        <v>8530.157261</v>
      </c>
      <c r="D45" s="12">
        <f t="shared" si="1"/>
        <v>23143.06138</v>
      </c>
      <c r="E45" s="12">
        <f t="shared" si="3"/>
        <v>2065875.043</v>
      </c>
      <c r="F45" s="6">
        <f t="shared" si="4"/>
        <v>1393621.62</v>
      </c>
    </row>
    <row r="46" ht="22.5" customHeight="1">
      <c r="A46" s="11">
        <f t="shared" si="2"/>
        <v>45</v>
      </c>
      <c r="B46" s="12">
        <f>'条件'!$B$5</f>
        <v>31673.21864</v>
      </c>
      <c r="C46" s="12">
        <f>E45*'条件'!$B$4</f>
        <v>8435.656427</v>
      </c>
      <c r="D46" s="12">
        <f t="shared" si="1"/>
        <v>23237.56221</v>
      </c>
      <c r="E46" s="12">
        <f t="shared" si="3"/>
        <v>2042637.481</v>
      </c>
      <c r="F46" s="6">
        <f t="shared" si="4"/>
        <v>1425294.839</v>
      </c>
    </row>
    <row r="47" ht="22.5" customHeight="1">
      <c r="A47" s="11">
        <f t="shared" si="2"/>
        <v>46</v>
      </c>
      <c r="B47" s="12">
        <f>'条件'!$B$5</f>
        <v>31673.21864</v>
      </c>
      <c r="C47" s="12">
        <f>E46*'条件'!$B$4</f>
        <v>8340.769715</v>
      </c>
      <c r="D47" s="12">
        <f t="shared" si="1"/>
        <v>23332.44893</v>
      </c>
      <c r="E47" s="12">
        <f t="shared" si="3"/>
        <v>2019305.032</v>
      </c>
      <c r="F47" s="6">
        <f t="shared" si="4"/>
        <v>1456968.058</v>
      </c>
    </row>
    <row r="48" ht="22.5" customHeight="1">
      <c r="A48" s="11">
        <f t="shared" si="2"/>
        <v>47</v>
      </c>
      <c r="B48" s="12">
        <f>'条件'!$B$5</f>
        <v>31673.21864</v>
      </c>
      <c r="C48" s="12">
        <f>E47*'条件'!$B$4</f>
        <v>8245.495549</v>
      </c>
      <c r="D48" s="12">
        <f t="shared" si="1"/>
        <v>23427.72309</v>
      </c>
      <c r="E48" s="12">
        <f t="shared" si="3"/>
        <v>1995877.309</v>
      </c>
      <c r="F48" s="6">
        <f t="shared" si="4"/>
        <v>1488641.276</v>
      </c>
    </row>
    <row r="49" ht="22.5" customHeight="1">
      <c r="A49" s="11">
        <f t="shared" si="2"/>
        <v>48</v>
      </c>
      <c r="B49" s="12">
        <f>'条件'!$B$5</f>
        <v>31673.21864</v>
      </c>
      <c r="C49" s="12">
        <f>E48*'条件'!$B$4</f>
        <v>8149.832346</v>
      </c>
      <c r="D49" s="12">
        <f t="shared" si="1"/>
        <v>23523.3863</v>
      </c>
      <c r="E49" s="12">
        <f t="shared" si="3"/>
        <v>1972353.923</v>
      </c>
      <c r="F49" s="6">
        <f t="shared" si="4"/>
        <v>1520314.495</v>
      </c>
    </row>
    <row r="50" ht="22.5" customHeight="1">
      <c r="A50" s="11">
        <f t="shared" si="2"/>
        <v>49</v>
      </c>
      <c r="B50" s="12">
        <f>'条件'!$B$5</f>
        <v>31673.21864</v>
      </c>
      <c r="C50" s="12">
        <f>E49*'条件'!$B$4</f>
        <v>8053.778519</v>
      </c>
      <c r="D50" s="12">
        <f t="shared" si="1"/>
        <v>23619.44012</v>
      </c>
      <c r="E50" s="12">
        <f t="shared" si="3"/>
        <v>1948734.483</v>
      </c>
      <c r="F50" s="6">
        <f t="shared" si="4"/>
        <v>1551987.713</v>
      </c>
    </row>
    <row r="51" ht="22.5" customHeight="1">
      <c r="A51" s="11">
        <f t="shared" si="2"/>
        <v>50</v>
      </c>
      <c r="B51" s="12">
        <f>'条件'!$B$5</f>
        <v>31673.21864</v>
      </c>
      <c r="C51" s="12">
        <f>E50*'条件'!$B$4</f>
        <v>7957.332471</v>
      </c>
      <c r="D51" s="12">
        <f t="shared" si="1"/>
        <v>23715.88617</v>
      </c>
      <c r="E51" s="12">
        <f t="shared" si="3"/>
        <v>1925018.597</v>
      </c>
      <c r="F51" s="6">
        <f t="shared" si="4"/>
        <v>1583660.932</v>
      </c>
    </row>
    <row r="52" ht="22.5" customHeight="1">
      <c r="A52" s="11">
        <f t="shared" si="2"/>
        <v>51</v>
      </c>
      <c r="B52" s="12">
        <f>'条件'!$B$5</f>
        <v>31673.21864</v>
      </c>
      <c r="C52" s="12">
        <f>E51*'条件'!$B$4</f>
        <v>7860.492603</v>
      </c>
      <c r="D52" s="12">
        <f t="shared" si="1"/>
        <v>23812.72604</v>
      </c>
      <c r="E52" s="12">
        <f t="shared" si="3"/>
        <v>1901205.871</v>
      </c>
      <c r="F52" s="6">
        <f t="shared" si="4"/>
        <v>1615334.151</v>
      </c>
    </row>
    <row r="53" ht="22.5" customHeight="1">
      <c r="A53" s="11">
        <f t="shared" si="2"/>
        <v>52</v>
      </c>
      <c r="B53" s="12">
        <f>'条件'!$B$5</f>
        <v>31673.21864</v>
      </c>
      <c r="C53" s="12">
        <f>E52*'条件'!$B$4</f>
        <v>7763.257305</v>
      </c>
      <c r="D53" s="12">
        <f t="shared" si="1"/>
        <v>23909.96134</v>
      </c>
      <c r="E53" s="12">
        <f t="shared" si="3"/>
        <v>1877295.909</v>
      </c>
      <c r="F53" s="6">
        <f t="shared" si="4"/>
        <v>1647007.369</v>
      </c>
    </row>
    <row r="54" ht="22.5" customHeight="1">
      <c r="A54" s="11">
        <f t="shared" si="2"/>
        <v>53</v>
      </c>
      <c r="B54" s="12">
        <f>'条件'!$B$5</f>
        <v>31673.21864</v>
      </c>
      <c r="C54" s="12">
        <f>E53*'条件'!$B$4</f>
        <v>7665.624963</v>
      </c>
      <c r="D54" s="12">
        <f t="shared" si="1"/>
        <v>24007.59368</v>
      </c>
      <c r="E54" s="12">
        <f t="shared" si="3"/>
        <v>1853288.316</v>
      </c>
      <c r="F54" s="6">
        <f t="shared" si="4"/>
        <v>1678680.588</v>
      </c>
    </row>
    <row r="55" ht="22.5" customHeight="1">
      <c r="A55" s="11">
        <f t="shared" si="2"/>
        <v>54</v>
      </c>
      <c r="B55" s="12">
        <f>'条件'!$B$5</f>
        <v>31673.21864</v>
      </c>
      <c r="C55" s="12">
        <f>E54*'条件'!$B$4</f>
        <v>7567.593955</v>
      </c>
      <c r="D55" s="12">
        <f t="shared" si="1"/>
        <v>24105.62469</v>
      </c>
      <c r="E55" s="12">
        <f t="shared" si="3"/>
        <v>1829182.691</v>
      </c>
      <c r="F55" s="6">
        <f t="shared" si="4"/>
        <v>1710353.807</v>
      </c>
    </row>
    <row r="56" ht="22.5" customHeight="1">
      <c r="A56" s="11">
        <f t="shared" si="2"/>
        <v>55</v>
      </c>
      <c r="B56" s="12">
        <f>'条件'!$B$5</f>
        <v>31673.21864</v>
      </c>
      <c r="C56" s="12">
        <f>E55*'条件'!$B$4</f>
        <v>7469.162654</v>
      </c>
      <c r="D56" s="12">
        <f t="shared" si="1"/>
        <v>24204.05599</v>
      </c>
      <c r="E56" s="12">
        <f t="shared" si="3"/>
        <v>1804978.635</v>
      </c>
      <c r="F56" s="6">
        <f t="shared" si="4"/>
        <v>1742027.025</v>
      </c>
    </row>
    <row r="57" ht="22.5" customHeight="1">
      <c r="A57" s="11">
        <f t="shared" si="2"/>
        <v>56</v>
      </c>
      <c r="B57" s="12">
        <f>'条件'!$B$5</f>
        <v>31673.21864</v>
      </c>
      <c r="C57" s="12">
        <f>E56*'条件'!$B$4</f>
        <v>7370.329426</v>
      </c>
      <c r="D57" s="12">
        <f t="shared" si="1"/>
        <v>24302.88922</v>
      </c>
      <c r="E57" s="12">
        <f t="shared" si="3"/>
        <v>1780675.746</v>
      </c>
      <c r="F57" s="6">
        <f t="shared" si="4"/>
        <v>1773700.244</v>
      </c>
    </row>
    <row r="58" ht="22.5" customHeight="1">
      <c r="A58" s="11">
        <f t="shared" si="2"/>
        <v>57</v>
      </c>
      <c r="B58" s="12">
        <f>'条件'!$B$5</f>
        <v>31673.21864</v>
      </c>
      <c r="C58" s="12">
        <f>E57*'条件'!$B$4</f>
        <v>7271.092628</v>
      </c>
      <c r="D58" s="12">
        <f t="shared" si="1"/>
        <v>24402.12601</v>
      </c>
      <c r="E58" s="12">
        <f t="shared" si="3"/>
        <v>1756273.62</v>
      </c>
      <c r="F58" s="6">
        <f t="shared" si="4"/>
        <v>1805373.463</v>
      </c>
    </row>
    <row r="59" ht="22.5" customHeight="1">
      <c r="A59" s="11">
        <f t="shared" si="2"/>
        <v>58</v>
      </c>
      <c r="B59" s="12">
        <f>'条件'!$B$5</f>
        <v>31673.21864</v>
      </c>
      <c r="C59" s="12">
        <f>E58*'条件'!$B$4</f>
        <v>7171.450614</v>
      </c>
      <c r="D59" s="12">
        <f t="shared" si="1"/>
        <v>24501.76803</v>
      </c>
      <c r="E59" s="12">
        <f t="shared" si="3"/>
        <v>1731771.852</v>
      </c>
      <c r="F59" s="6">
        <f t="shared" si="4"/>
        <v>1837046.681</v>
      </c>
    </row>
    <row r="60" ht="22.5" customHeight="1">
      <c r="A60" s="11">
        <f t="shared" si="2"/>
        <v>59</v>
      </c>
      <c r="B60" s="12">
        <f>'条件'!$B$5</f>
        <v>31673.21864</v>
      </c>
      <c r="C60" s="12">
        <f>E59*'条件'!$B$4</f>
        <v>7071.401727</v>
      </c>
      <c r="D60" s="12">
        <f t="shared" si="1"/>
        <v>24601.81691</v>
      </c>
      <c r="E60" s="12">
        <f t="shared" si="3"/>
        <v>1707170.035</v>
      </c>
      <c r="F60" s="6">
        <f t="shared" si="4"/>
        <v>1868719.9</v>
      </c>
    </row>
    <row r="61" ht="22.5" customHeight="1">
      <c r="A61" s="11">
        <f t="shared" si="2"/>
        <v>60</v>
      </c>
      <c r="B61" s="12">
        <f>'条件'!$B$5</f>
        <v>31673.21864</v>
      </c>
      <c r="C61" s="12">
        <f>E60*'条件'!$B$4</f>
        <v>6970.944308</v>
      </c>
      <c r="D61" s="12">
        <f t="shared" si="1"/>
        <v>24702.27433</v>
      </c>
      <c r="E61" s="12">
        <f t="shared" si="3"/>
        <v>1682467.76</v>
      </c>
      <c r="F61" s="6">
        <f t="shared" si="4"/>
        <v>1900393.118</v>
      </c>
    </row>
    <row r="62" ht="22.5" customHeight="1">
      <c r="A62" s="11">
        <f t="shared" si="2"/>
        <v>61</v>
      </c>
      <c r="B62" s="12">
        <f>'条件'!$B$5</f>
        <v>31673.21864</v>
      </c>
      <c r="C62" s="12">
        <f>E61*'条件'!$B$4</f>
        <v>6870.076688</v>
      </c>
      <c r="D62" s="12">
        <f t="shared" si="1"/>
        <v>24803.14195</v>
      </c>
      <c r="E62" s="12">
        <f t="shared" si="3"/>
        <v>1657664.618</v>
      </c>
      <c r="F62" s="6">
        <f t="shared" si="4"/>
        <v>1932066.337</v>
      </c>
    </row>
    <row r="63" ht="22.5" customHeight="1">
      <c r="A63" s="11">
        <f t="shared" si="2"/>
        <v>62</v>
      </c>
      <c r="B63" s="12">
        <f>'条件'!$B$5</f>
        <v>31673.21864</v>
      </c>
      <c r="C63" s="12">
        <f>E62*'条件'!$B$4</f>
        <v>6768.797192</v>
      </c>
      <c r="D63" s="12">
        <f t="shared" si="1"/>
        <v>24904.42145</v>
      </c>
      <c r="E63" s="12">
        <f t="shared" si="3"/>
        <v>1632760.197</v>
      </c>
      <c r="F63" s="6">
        <f t="shared" si="4"/>
        <v>1963739.556</v>
      </c>
    </row>
    <row r="64" ht="22.5" customHeight="1">
      <c r="A64" s="11">
        <f t="shared" si="2"/>
        <v>63</v>
      </c>
      <c r="B64" s="12">
        <f>'条件'!$B$5</f>
        <v>31673.21864</v>
      </c>
      <c r="C64" s="12">
        <f>E63*'条件'!$B$4</f>
        <v>6667.104138</v>
      </c>
      <c r="D64" s="12">
        <f t="shared" si="1"/>
        <v>25006.1145</v>
      </c>
      <c r="E64" s="12">
        <f t="shared" si="3"/>
        <v>1607754.082</v>
      </c>
      <c r="F64" s="6">
        <f t="shared" si="4"/>
        <v>1995412.774</v>
      </c>
    </row>
    <row r="65" ht="22.5" customHeight="1">
      <c r="A65" s="11">
        <f t="shared" si="2"/>
        <v>64</v>
      </c>
      <c r="B65" s="12">
        <f>'条件'!$B$5</f>
        <v>31673.21864</v>
      </c>
      <c r="C65" s="12">
        <f>E64*'条件'!$B$4</f>
        <v>6564.995837</v>
      </c>
      <c r="D65" s="12">
        <f t="shared" si="1"/>
        <v>25108.2228</v>
      </c>
      <c r="E65" s="12">
        <f t="shared" si="3"/>
        <v>1582645.86</v>
      </c>
      <c r="F65" s="6">
        <f t="shared" si="4"/>
        <v>2027085.993</v>
      </c>
    </row>
    <row r="66" ht="22.5" customHeight="1">
      <c r="A66" s="11">
        <f t="shared" si="2"/>
        <v>65</v>
      </c>
      <c r="B66" s="12">
        <f>'条件'!$B$5</f>
        <v>31673.21864</v>
      </c>
      <c r="C66" s="12">
        <f>E65*'条件'!$B$4</f>
        <v>6462.470594</v>
      </c>
      <c r="D66" s="12">
        <f t="shared" si="1"/>
        <v>25210.74805</v>
      </c>
      <c r="E66" s="12">
        <f t="shared" si="3"/>
        <v>1557435.112</v>
      </c>
      <c r="F66" s="6">
        <f t="shared" si="4"/>
        <v>2058759.212</v>
      </c>
    </row>
    <row r="67" ht="22.5" customHeight="1">
      <c r="A67" s="11">
        <f t="shared" si="2"/>
        <v>66</v>
      </c>
      <c r="B67" s="12">
        <f>'条件'!$B$5</f>
        <v>31673.21864</v>
      </c>
      <c r="C67" s="12">
        <f>E66*'条件'!$B$4</f>
        <v>6359.526706</v>
      </c>
      <c r="D67" s="12">
        <f t="shared" si="1"/>
        <v>25313.69194</v>
      </c>
      <c r="E67" s="12">
        <f t="shared" si="3"/>
        <v>1532121.42</v>
      </c>
      <c r="F67" s="6">
        <f t="shared" si="4"/>
        <v>2090432.43</v>
      </c>
    </row>
    <row r="68" ht="22.5" customHeight="1">
      <c r="A68" s="11">
        <f t="shared" si="2"/>
        <v>67</v>
      </c>
      <c r="B68" s="12">
        <f>'条件'!$B$5</f>
        <v>31673.21864</v>
      </c>
      <c r="C68" s="12">
        <f>E67*'条件'!$B$4</f>
        <v>6256.162464</v>
      </c>
      <c r="D68" s="12">
        <f t="shared" si="1"/>
        <v>25417.05618</v>
      </c>
      <c r="E68" s="12">
        <f t="shared" si="3"/>
        <v>1506704.364</v>
      </c>
      <c r="F68" s="6">
        <f t="shared" si="4"/>
        <v>2122105.649</v>
      </c>
    </row>
    <row r="69" ht="22.5" customHeight="1">
      <c r="A69" s="11">
        <f t="shared" si="2"/>
        <v>68</v>
      </c>
      <c r="B69" s="12">
        <f>'条件'!$B$5</f>
        <v>31673.21864</v>
      </c>
      <c r="C69" s="12">
        <f>E68*'条件'!$B$4</f>
        <v>6152.376151</v>
      </c>
      <c r="D69" s="12">
        <f t="shared" si="1"/>
        <v>25520.84249</v>
      </c>
      <c r="E69" s="12">
        <f t="shared" si="3"/>
        <v>1481183.521</v>
      </c>
      <c r="F69" s="6">
        <f t="shared" si="4"/>
        <v>2153778.868</v>
      </c>
    </row>
    <row r="70" ht="22.5" customHeight="1">
      <c r="A70" s="11">
        <f t="shared" si="2"/>
        <v>69</v>
      </c>
      <c r="B70" s="12">
        <f>'条件'!$B$5</f>
        <v>31673.21864</v>
      </c>
      <c r="C70" s="12">
        <f>E69*'条件'!$B$4</f>
        <v>6048.166044</v>
      </c>
      <c r="D70" s="12">
        <f t="shared" si="1"/>
        <v>25625.0526</v>
      </c>
      <c r="E70" s="12">
        <f t="shared" si="3"/>
        <v>1455558.468</v>
      </c>
      <c r="F70" s="6">
        <f t="shared" si="4"/>
        <v>2185452.086</v>
      </c>
    </row>
    <row r="71" ht="22.5" customHeight="1">
      <c r="A71" s="11">
        <f t="shared" si="2"/>
        <v>70</v>
      </c>
      <c r="B71" s="12">
        <f>'条件'!$B$5</f>
        <v>31673.21864</v>
      </c>
      <c r="C71" s="12">
        <f>E70*'条件'!$B$4</f>
        <v>5943.530413</v>
      </c>
      <c r="D71" s="12">
        <f t="shared" si="1"/>
        <v>25729.68823</v>
      </c>
      <c r="E71" s="12">
        <f t="shared" si="3"/>
        <v>1429828.78</v>
      </c>
      <c r="F71" s="6">
        <f t="shared" si="4"/>
        <v>2217125.305</v>
      </c>
    </row>
    <row r="72" ht="22.5" customHeight="1">
      <c r="A72" s="11">
        <f t="shared" si="2"/>
        <v>71</v>
      </c>
      <c r="B72" s="12">
        <f>'条件'!$B$5</f>
        <v>31673.21864</v>
      </c>
      <c r="C72" s="12">
        <f>E71*'条件'!$B$4</f>
        <v>5838.467519</v>
      </c>
      <c r="D72" s="12">
        <f t="shared" si="1"/>
        <v>25834.75112</v>
      </c>
      <c r="E72" s="12">
        <f t="shared" si="3"/>
        <v>1403994.029</v>
      </c>
      <c r="F72" s="6">
        <f t="shared" si="4"/>
        <v>2248798.524</v>
      </c>
    </row>
    <row r="73" ht="22.5" customHeight="1">
      <c r="A73" s="11">
        <f t="shared" si="2"/>
        <v>72</v>
      </c>
      <c r="B73" s="12">
        <f>'条件'!$B$5</f>
        <v>31673.21864</v>
      </c>
      <c r="C73" s="12">
        <f>E72*'条件'!$B$4</f>
        <v>5732.975619</v>
      </c>
      <c r="D73" s="12">
        <f t="shared" si="1"/>
        <v>25940.24302</v>
      </c>
      <c r="E73" s="12">
        <f t="shared" si="3"/>
        <v>1378053.786</v>
      </c>
      <c r="F73" s="6">
        <f t="shared" si="4"/>
        <v>2280471.742</v>
      </c>
    </row>
    <row r="74" ht="22.5" customHeight="1">
      <c r="A74" s="11">
        <f t="shared" si="2"/>
        <v>73</v>
      </c>
      <c r="B74" s="12">
        <f>'条件'!$B$5</f>
        <v>31673.21864</v>
      </c>
      <c r="C74" s="12">
        <f>E73*'条件'!$B$4</f>
        <v>5627.05296</v>
      </c>
      <c r="D74" s="12">
        <f t="shared" si="1"/>
        <v>26046.16568</v>
      </c>
      <c r="E74" s="12">
        <f t="shared" si="3"/>
        <v>1352007.62</v>
      </c>
      <c r="F74" s="6">
        <f t="shared" si="4"/>
        <v>2312144.961</v>
      </c>
    </row>
    <row r="75" ht="22.5" customHeight="1">
      <c r="A75" s="11">
        <f t="shared" si="2"/>
        <v>74</v>
      </c>
      <c r="B75" s="12">
        <f>'条件'!$B$5</f>
        <v>31673.21864</v>
      </c>
      <c r="C75" s="12">
        <f>E74*'条件'!$B$4</f>
        <v>5520.697783</v>
      </c>
      <c r="D75" s="12">
        <f t="shared" si="1"/>
        <v>26152.52086</v>
      </c>
      <c r="E75" s="12">
        <f t="shared" si="3"/>
        <v>1325855.1</v>
      </c>
      <c r="F75" s="6">
        <f t="shared" si="4"/>
        <v>2343818.179</v>
      </c>
    </row>
    <row r="76" ht="22.5" customHeight="1">
      <c r="A76" s="11">
        <f t="shared" si="2"/>
        <v>75</v>
      </c>
      <c r="B76" s="12">
        <f>'条件'!$B$5</f>
        <v>31673.21864</v>
      </c>
      <c r="C76" s="12">
        <f>E75*'条件'!$B$4</f>
        <v>5413.908323</v>
      </c>
      <c r="D76" s="12">
        <f t="shared" si="1"/>
        <v>26259.31032</v>
      </c>
      <c r="E76" s="12">
        <f t="shared" si="3"/>
        <v>1299595.789</v>
      </c>
      <c r="F76" s="6">
        <f t="shared" si="4"/>
        <v>2375491.398</v>
      </c>
    </row>
    <row r="77" ht="22.5" customHeight="1">
      <c r="A77" s="11">
        <f t="shared" si="2"/>
        <v>76</v>
      </c>
      <c r="B77" s="12">
        <f>'条件'!$B$5</f>
        <v>31673.21864</v>
      </c>
      <c r="C77" s="12">
        <f>E76*'条件'!$B$4</f>
        <v>5306.682806</v>
      </c>
      <c r="D77" s="12">
        <f t="shared" si="1"/>
        <v>26366.53584</v>
      </c>
      <c r="E77" s="12">
        <f t="shared" si="3"/>
        <v>1273229.253</v>
      </c>
      <c r="F77" s="6">
        <f t="shared" si="4"/>
        <v>2407164.617</v>
      </c>
    </row>
    <row r="78" ht="22.5" customHeight="1">
      <c r="A78" s="11">
        <f t="shared" si="2"/>
        <v>77</v>
      </c>
      <c r="B78" s="12">
        <f>'条件'!$B$5</f>
        <v>31673.21864</v>
      </c>
      <c r="C78" s="12">
        <f>E77*'条件'!$B$4</f>
        <v>5199.019451</v>
      </c>
      <c r="D78" s="12">
        <f t="shared" si="1"/>
        <v>26474.19919</v>
      </c>
      <c r="E78" s="12">
        <f t="shared" si="3"/>
        <v>1246755.054</v>
      </c>
      <c r="F78" s="6">
        <f t="shared" si="4"/>
        <v>2438837.835</v>
      </c>
    </row>
    <row r="79" ht="22.5" customHeight="1">
      <c r="A79" s="11">
        <f t="shared" si="2"/>
        <v>78</v>
      </c>
      <c r="B79" s="12">
        <f>'条件'!$B$5</f>
        <v>31673.21864</v>
      </c>
      <c r="C79" s="12">
        <f>E78*'条件'!$B$4</f>
        <v>5090.916471</v>
      </c>
      <c r="D79" s="12">
        <f t="shared" si="1"/>
        <v>26582.30217</v>
      </c>
      <c r="E79" s="12">
        <f t="shared" si="3"/>
        <v>1220172.752</v>
      </c>
      <c r="F79" s="6">
        <f t="shared" si="4"/>
        <v>2470511.054</v>
      </c>
    </row>
    <row r="80" ht="22.5" customHeight="1">
      <c r="A80" s="11">
        <f t="shared" si="2"/>
        <v>79</v>
      </c>
      <c r="B80" s="12">
        <f>'条件'!$B$5</f>
        <v>31673.21864</v>
      </c>
      <c r="C80" s="12">
        <f>E79*'条件'!$B$4</f>
        <v>4982.372071</v>
      </c>
      <c r="D80" s="12">
        <f t="shared" si="1"/>
        <v>26690.84657</v>
      </c>
      <c r="E80" s="12">
        <f t="shared" si="3"/>
        <v>1193481.905</v>
      </c>
      <c r="F80" s="6">
        <f t="shared" si="4"/>
        <v>2502184.273</v>
      </c>
    </row>
    <row r="81" ht="22.5" customHeight="1">
      <c r="A81" s="11">
        <f t="shared" si="2"/>
        <v>80</v>
      </c>
      <c r="B81" s="12">
        <f>'条件'!$B$5</f>
        <v>31673.21864</v>
      </c>
      <c r="C81" s="12">
        <f>E80*'条件'!$B$4</f>
        <v>4873.384447</v>
      </c>
      <c r="D81" s="12">
        <f t="shared" si="1"/>
        <v>26799.83419</v>
      </c>
      <c r="E81" s="12">
        <f t="shared" si="3"/>
        <v>1166682.071</v>
      </c>
      <c r="F81" s="6">
        <f t="shared" si="4"/>
        <v>2533857.491</v>
      </c>
    </row>
    <row r="82" ht="22.5" customHeight="1">
      <c r="A82" s="11">
        <f t="shared" si="2"/>
        <v>81</v>
      </c>
      <c r="B82" s="12">
        <f>'条件'!$B$5</f>
        <v>31673.21864</v>
      </c>
      <c r="C82" s="12">
        <f>E81*'条件'!$B$4</f>
        <v>4763.951791</v>
      </c>
      <c r="D82" s="12">
        <f t="shared" si="1"/>
        <v>26909.26685</v>
      </c>
      <c r="E82" s="12">
        <f t="shared" si="3"/>
        <v>1139772.804</v>
      </c>
      <c r="F82" s="6">
        <f t="shared" si="4"/>
        <v>2565530.71</v>
      </c>
    </row>
    <row r="83" ht="22.5" customHeight="1">
      <c r="A83" s="11">
        <f t="shared" si="2"/>
        <v>82</v>
      </c>
      <c r="B83" s="12">
        <f>'条件'!$B$5</f>
        <v>31673.21864</v>
      </c>
      <c r="C83" s="12">
        <f>E82*'条件'!$B$4</f>
        <v>4654.072285</v>
      </c>
      <c r="D83" s="12">
        <f t="shared" si="1"/>
        <v>27019.14636</v>
      </c>
      <c r="E83" s="12">
        <f t="shared" si="3"/>
        <v>1112753.658</v>
      </c>
      <c r="F83" s="6">
        <f t="shared" si="4"/>
        <v>2597203.929</v>
      </c>
    </row>
    <row r="84" ht="22.5" customHeight="1">
      <c r="A84" s="11">
        <f t="shared" si="2"/>
        <v>83</v>
      </c>
      <c r="B84" s="12">
        <f>'条件'!$B$5</f>
        <v>31673.21864</v>
      </c>
      <c r="C84" s="12">
        <f>E83*'条件'!$B$4</f>
        <v>4543.744104</v>
      </c>
      <c r="D84" s="12">
        <f t="shared" si="1"/>
        <v>27129.47454</v>
      </c>
      <c r="E84" s="12">
        <f t="shared" si="3"/>
        <v>1085624.183</v>
      </c>
      <c r="F84" s="6">
        <f t="shared" si="4"/>
        <v>2628877.147</v>
      </c>
    </row>
    <row r="85" ht="22.5" customHeight="1">
      <c r="A85" s="11">
        <f t="shared" si="2"/>
        <v>84</v>
      </c>
      <c r="B85" s="12">
        <f>'条件'!$B$5</f>
        <v>31673.21864</v>
      </c>
      <c r="C85" s="12">
        <f>E84*'条件'!$B$4</f>
        <v>4432.965416</v>
      </c>
      <c r="D85" s="12">
        <f t="shared" si="1"/>
        <v>27240.25323</v>
      </c>
      <c r="E85" s="12">
        <f t="shared" si="3"/>
        <v>1058383.93</v>
      </c>
      <c r="F85" s="6">
        <f t="shared" si="4"/>
        <v>2660550.366</v>
      </c>
    </row>
    <row r="86" ht="22.5" customHeight="1">
      <c r="A86" s="11">
        <f t="shared" si="2"/>
        <v>85</v>
      </c>
      <c r="B86" s="12">
        <f>'条件'!$B$5</f>
        <v>31673.21864</v>
      </c>
      <c r="C86" s="12">
        <f>E85*'条件'!$B$4</f>
        <v>4321.734382</v>
      </c>
      <c r="D86" s="12">
        <f t="shared" si="1"/>
        <v>27351.48426</v>
      </c>
      <c r="E86" s="12">
        <f t="shared" si="3"/>
        <v>1031032.446</v>
      </c>
      <c r="F86" s="6">
        <f t="shared" si="4"/>
        <v>2692223.585</v>
      </c>
    </row>
    <row r="87" ht="22.5" customHeight="1">
      <c r="A87" s="11">
        <f t="shared" si="2"/>
        <v>86</v>
      </c>
      <c r="B87" s="12">
        <f>'条件'!$B$5</f>
        <v>31673.21864</v>
      </c>
      <c r="C87" s="12">
        <f>E86*'条件'!$B$4</f>
        <v>4210.049154</v>
      </c>
      <c r="D87" s="12">
        <f t="shared" si="1"/>
        <v>27463.16949</v>
      </c>
      <c r="E87" s="12">
        <f t="shared" si="3"/>
        <v>1003569.277</v>
      </c>
      <c r="F87" s="6">
        <f t="shared" si="4"/>
        <v>2723896.803</v>
      </c>
    </row>
    <row r="88" ht="22.5" customHeight="1">
      <c r="A88" s="11">
        <f t="shared" si="2"/>
        <v>87</v>
      </c>
      <c r="B88" s="12">
        <f>'条件'!$B$5</f>
        <v>31673.21864</v>
      </c>
      <c r="C88" s="12">
        <f>E87*'条件'!$B$4</f>
        <v>4097.907879</v>
      </c>
      <c r="D88" s="12">
        <f t="shared" si="1"/>
        <v>27575.31076</v>
      </c>
      <c r="E88" s="12">
        <f t="shared" si="3"/>
        <v>975993.9657</v>
      </c>
      <c r="F88" s="6">
        <f t="shared" si="4"/>
        <v>2755570.022</v>
      </c>
    </row>
    <row r="89" ht="22.5" customHeight="1">
      <c r="A89" s="11">
        <f t="shared" si="2"/>
        <v>88</v>
      </c>
      <c r="B89" s="12">
        <f>'条件'!$B$5</f>
        <v>31673.21864</v>
      </c>
      <c r="C89" s="12">
        <f>E88*'条件'!$B$4</f>
        <v>3985.308693</v>
      </c>
      <c r="D89" s="12">
        <f t="shared" si="1"/>
        <v>27687.90995</v>
      </c>
      <c r="E89" s="12">
        <f t="shared" si="3"/>
        <v>948306.0558</v>
      </c>
      <c r="F89" s="6">
        <f t="shared" si="4"/>
        <v>2787243.24</v>
      </c>
    </row>
    <row r="90" ht="22.5" customHeight="1">
      <c r="A90" s="11">
        <f t="shared" si="2"/>
        <v>89</v>
      </c>
      <c r="B90" s="12">
        <f>'条件'!$B$5</f>
        <v>31673.21864</v>
      </c>
      <c r="C90" s="12">
        <f>E89*'条件'!$B$4</f>
        <v>3872.249728</v>
      </c>
      <c r="D90" s="12">
        <f t="shared" si="1"/>
        <v>27800.96891</v>
      </c>
      <c r="E90" s="12">
        <f t="shared" si="3"/>
        <v>920505.0869</v>
      </c>
      <c r="F90" s="6">
        <f t="shared" si="4"/>
        <v>2818916.459</v>
      </c>
    </row>
    <row r="91" ht="22.5" customHeight="1">
      <c r="A91" s="11">
        <f t="shared" si="2"/>
        <v>90</v>
      </c>
      <c r="B91" s="12">
        <f>'条件'!$B$5</f>
        <v>31673.21864</v>
      </c>
      <c r="C91" s="12">
        <f>E90*'条件'!$B$4</f>
        <v>3758.729105</v>
      </c>
      <c r="D91" s="12">
        <f t="shared" si="1"/>
        <v>27914.48954</v>
      </c>
      <c r="E91" s="12">
        <f t="shared" si="3"/>
        <v>892590.5973</v>
      </c>
      <c r="F91" s="6">
        <f t="shared" si="4"/>
        <v>2850589.678</v>
      </c>
    </row>
    <row r="92" ht="22.5" customHeight="1">
      <c r="A92" s="11">
        <f t="shared" si="2"/>
        <v>91</v>
      </c>
      <c r="B92" s="12">
        <f>'条件'!$B$5</f>
        <v>31673.21864</v>
      </c>
      <c r="C92" s="12">
        <f>E91*'条件'!$B$4</f>
        <v>3644.744939</v>
      </c>
      <c r="D92" s="12">
        <f t="shared" si="1"/>
        <v>28028.4737</v>
      </c>
      <c r="E92" s="12">
        <f t="shared" si="3"/>
        <v>864562.1236</v>
      </c>
      <c r="F92" s="6">
        <f t="shared" si="4"/>
        <v>2882262.896</v>
      </c>
    </row>
    <row r="93" ht="22.5" customHeight="1">
      <c r="A93" s="11">
        <f t="shared" si="2"/>
        <v>92</v>
      </c>
      <c r="B93" s="12">
        <f>'条件'!$B$5</f>
        <v>31673.21864</v>
      </c>
      <c r="C93" s="12">
        <f>E92*'条件'!$B$4</f>
        <v>3530.295338</v>
      </c>
      <c r="D93" s="12">
        <f t="shared" si="1"/>
        <v>28142.9233</v>
      </c>
      <c r="E93" s="12">
        <f t="shared" si="3"/>
        <v>836419.2003</v>
      </c>
      <c r="F93" s="6">
        <f t="shared" si="4"/>
        <v>2913936.115</v>
      </c>
    </row>
    <row r="94" ht="22.5" customHeight="1">
      <c r="A94" s="11">
        <f t="shared" si="2"/>
        <v>93</v>
      </c>
      <c r="B94" s="12">
        <f>'条件'!$B$5</f>
        <v>31673.21864</v>
      </c>
      <c r="C94" s="12">
        <f>E93*'条件'!$B$4</f>
        <v>3415.378401</v>
      </c>
      <c r="D94" s="12">
        <f t="shared" si="1"/>
        <v>28257.84024</v>
      </c>
      <c r="E94" s="12">
        <f t="shared" si="3"/>
        <v>808161.3601</v>
      </c>
      <c r="F94" s="6">
        <f t="shared" si="4"/>
        <v>2945609.334</v>
      </c>
    </row>
    <row r="95" ht="22.5" customHeight="1">
      <c r="A95" s="11">
        <f t="shared" si="2"/>
        <v>94</v>
      </c>
      <c r="B95" s="12">
        <f>'条件'!$B$5</f>
        <v>31673.21864</v>
      </c>
      <c r="C95" s="12">
        <f>E94*'条件'!$B$4</f>
        <v>3299.99222</v>
      </c>
      <c r="D95" s="12">
        <f t="shared" si="1"/>
        <v>28373.22642</v>
      </c>
      <c r="E95" s="12">
        <f t="shared" si="3"/>
        <v>779788.1337</v>
      </c>
      <c r="F95" s="6">
        <f t="shared" si="4"/>
        <v>2977282.552</v>
      </c>
    </row>
    <row r="96" ht="22.5" customHeight="1">
      <c r="A96" s="11">
        <f t="shared" si="2"/>
        <v>95</v>
      </c>
      <c r="B96" s="12">
        <f>'条件'!$B$5</f>
        <v>31673.21864</v>
      </c>
      <c r="C96" s="12">
        <f>E95*'条件'!$B$4</f>
        <v>3184.134879</v>
      </c>
      <c r="D96" s="12">
        <f t="shared" si="1"/>
        <v>28489.08376</v>
      </c>
      <c r="E96" s="12">
        <f t="shared" si="3"/>
        <v>751299.0499</v>
      </c>
      <c r="F96" s="6">
        <f t="shared" si="4"/>
        <v>3008955.771</v>
      </c>
    </row>
    <row r="97" ht="22.5" customHeight="1">
      <c r="A97" s="11">
        <f t="shared" si="2"/>
        <v>96</v>
      </c>
      <c r="B97" s="12">
        <f>'条件'!$B$5</f>
        <v>31673.21864</v>
      </c>
      <c r="C97" s="12">
        <f>E96*'条件'!$B$4</f>
        <v>3067.804454</v>
      </c>
      <c r="D97" s="12">
        <f t="shared" si="1"/>
        <v>28605.41419</v>
      </c>
      <c r="E97" s="12">
        <f t="shared" si="3"/>
        <v>722693.6357</v>
      </c>
      <c r="F97" s="6">
        <f t="shared" si="4"/>
        <v>3040628.99</v>
      </c>
    </row>
    <row r="98" ht="22.5" customHeight="1">
      <c r="A98" s="11">
        <f t="shared" si="2"/>
        <v>97</v>
      </c>
      <c r="B98" s="12">
        <f>'条件'!$B$5</f>
        <v>31673.21864</v>
      </c>
      <c r="C98" s="12">
        <f>E97*'条件'!$B$4</f>
        <v>2950.999013</v>
      </c>
      <c r="D98" s="12">
        <f t="shared" si="1"/>
        <v>28722.21963</v>
      </c>
      <c r="E98" s="12">
        <f t="shared" si="3"/>
        <v>693971.4161</v>
      </c>
      <c r="F98" s="6">
        <f t="shared" si="4"/>
        <v>3072302.208</v>
      </c>
    </row>
    <row r="99" ht="22.5" customHeight="1">
      <c r="A99" s="11">
        <f t="shared" si="2"/>
        <v>98</v>
      </c>
      <c r="B99" s="12">
        <f>'条件'!$B$5</f>
        <v>31673.21864</v>
      </c>
      <c r="C99" s="12">
        <f>E98*'条件'!$B$4</f>
        <v>2833.716616</v>
      </c>
      <c r="D99" s="12">
        <f t="shared" si="1"/>
        <v>28839.50203</v>
      </c>
      <c r="E99" s="12">
        <f t="shared" si="3"/>
        <v>665131.9141</v>
      </c>
      <c r="F99" s="6">
        <f t="shared" si="4"/>
        <v>3103975.427</v>
      </c>
    </row>
    <row r="100" ht="22.5" customHeight="1">
      <c r="A100" s="11">
        <f t="shared" si="2"/>
        <v>99</v>
      </c>
      <c r="B100" s="12">
        <f>'条件'!$B$5</f>
        <v>31673.21864</v>
      </c>
      <c r="C100" s="12">
        <f>E99*'条件'!$B$4</f>
        <v>2715.955316</v>
      </c>
      <c r="D100" s="12">
        <f t="shared" si="1"/>
        <v>28957.26333</v>
      </c>
      <c r="E100" s="12">
        <f t="shared" si="3"/>
        <v>636174.6508</v>
      </c>
      <c r="F100" s="6">
        <f t="shared" si="4"/>
        <v>3135648.646</v>
      </c>
    </row>
    <row r="101" ht="22.5" customHeight="1">
      <c r="A101" s="11">
        <f t="shared" si="2"/>
        <v>100</v>
      </c>
      <c r="B101" s="12">
        <f>'条件'!$B$5</f>
        <v>31673.21864</v>
      </c>
      <c r="C101" s="12">
        <f>E100*'条件'!$B$4</f>
        <v>2597.713157</v>
      </c>
      <c r="D101" s="12">
        <f t="shared" si="1"/>
        <v>29075.50548</v>
      </c>
      <c r="E101" s="12">
        <f t="shared" si="3"/>
        <v>607099.1453</v>
      </c>
      <c r="F101" s="6">
        <f t="shared" si="4"/>
        <v>3167321.864</v>
      </c>
    </row>
    <row r="102" ht="22.5" customHeight="1">
      <c r="A102" s="11">
        <f t="shared" si="2"/>
        <v>101</v>
      </c>
      <c r="B102" s="12">
        <f>'条件'!$B$5</f>
        <v>31673.21864</v>
      </c>
      <c r="C102" s="12">
        <f>E101*'条件'!$B$4</f>
        <v>2478.988177</v>
      </c>
      <c r="D102" s="12">
        <f t="shared" si="1"/>
        <v>29194.23047</v>
      </c>
      <c r="E102" s="12">
        <f t="shared" si="3"/>
        <v>577904.9148</v>
      </c>
      <c r="F102" s="6">
        <f t="shared" si="4"/>
        <v>3198995.083</v>
      </c>
    </row>
    <row r="103" ht="22.5" customHeight="1">
      <c r="A103" s="11">
        <f t="shared" si="2"/>
        <v>102</v>
      </c>
      <c r="B103" s="12">
        <f>'条件'!$B$5</f>
        <v>31673.21864</v>
      </c>
      <c r="C103" s="12">
        <f>E102*'条件'!$B$4</f>
        <v>2359.778402</v>
      </c>
      <c r="D103" s="12">
        <f t="shared" si="1"/>
        <v>29313.44024</v>
      </c>
      <c r="E103" s="12">
        <f t="shared" si="3"/>
        <v>548591.4746</v>
      </c>
      <c r="F103" s="6">
        <f t="shared" si="4"/>
        <v>3230668.301</v>
      </c>
    </row>
    <row r="104" ht="22.5" customHeight="1">
      <c r="A104" s="11">
        <f t="shared" si="2"/>
        <v>103</v>
      </c>
      <c r="B104" s="12">
        <f>'条件'!$B$5</f>
        <v>31673.21864</v>
      </c>
      <c r="C104" s="12">
        <f>E103*'条件'!$B$4</f>
        <v>2240.081854</v>
      </c>
      <c r="D104" s="12">
        <f t="shared" si="1"/>
        <v>29433.13679</v>
      </c>
      <c r="E104" s="12">
        <f t="shared" si="3"/>
        <v>519158.3378</v>
      </c>
      <c r="F104" s="6">
        <f t="shared" si="4"/>
        <v>3262341.52</v>
      </c>
    </row>
    <row r="105" ht="22.5" customHeight="1">
      <c r="A105" s="11">
        <f t="shared" si="2"/>
        <v>104</v>
      </c>
      <c r="B105" s="12">
        <f>'条件'!$B$5</f>
        <v>31673.21864</v>
      </c>
      <c r="C105" s="12">
        <f>E104*'条件'!$B$4</f>
        <v>2119.896546</v>
      </c>
      <c r="D105" s="12">
        <f t="shared" si="1"/>
        <v>29553.3221</v>
      </c>
      <c r="E105" s="12">
        <f t="shared" si="3"/>
        <v>489605.0157</v>
      </c>
      <c r="F105" s="6">
        <f t="shared" si="4"/>
        <v>3294014.739</v>
      </c>
    </row>
    <row r="106" ht="22.5" customHeight="1">
      <c r="A106" s="11">
        <f t="shared" si="2"/>
        <v>105</v>
      </c>
      <c r="B106" s="12">
        <f>'条件'!$B$5</f>
        <v>31673.21864</v>
      </c>
      <c r="C106" s="12">
        <f>E105*'条件'!$B$4</f>
        <v>1999.220481</v>
      </c>
      <c r="D106" s="12">
        <f t="shared" si="1"/>
        <v>29673.99816</v>
      </c>
      <c r="E106" s="12">
        <f t="shared" si="3"/>
        <v>459931.0175</v>
      </c>
      <c r="F106" s="6">
        <f t="shared" si="4"/>
        <v>3325687.957</v>
      </c>
    </row>
    <row r="107" ht="22.5" customHeight="1">
      <c r="A107" s="11">
        <f t="shared" si="2"/>
        <v>106</v>
      </c>
      <c r="B107" s="12">
        <f>'条件'!$B$5</f>
        <v>31673.21864</v>
      </c>
      <c r="C107" s="12">
        <f>E106*'条件'!$B$4</f>
        <v>1878.051655</v>
      </c>
      <c r="D107" s="12">
        <f t="shared" si="1"/>
        <v>29795.16699</v>
      </c>
      <c r="E107" s="12">
        <f t="shared" si="3"/>
        <v>430135.8505</v>
      </c>
      <c r="F107" s="6">
        <f t="shared" si="4"/>
        <v>3357361.176</v>
      </c>
    </row>
    <row r="108" ht="22.5" customHeight="1">
      <c r="A108" s="11">
        <f t="shared" si="2"/>
        <v>107</v>
      </c>
      <c r="B108" s="12">
        <f>'条件'!$B$5</f>
        <v>31673.21864</v>
      </c>
      <c r="C108" s="12">
        <f>E107*'条件'!$B$4</f>
        <v>1756.388056</v>
      </c>
      <c r="D108" s="12">
        <f t="shared" si="1"/>
        <v>29916.83059</v>
      </c>
      <c r="E108" s="12">
        <f t="shared" si="3"/>
        <v>400219.0199</v>
      </c>
      <c r="F108" s="6">
        <f t="shared" si="4"/>
        <v>3389034.395</v>
      </c>
    </row>
    <row r="109" ht="22.5" customHeight="1">
      <c r="A109" s="11">
        <f t="shared" si="2"/>
        <v>108</v>
      </c>
      <c r="B109" s="12">
        <f>'条件'!$B$5</f>
        <v>31673.21864</v>
      </c>
      <c r="C109" s="12">
        <f>E108*'条件'!$B$4</f>
        <v>1634.227665</v>
      </c>
      <c r="D109" s="12">
        <f t="shared" si="1"/>
        <v>30038.99098</v>
      </c>
      <c r="E109" s="12">
        <f t="shared" si="3"/>
        <v>370180.029</v>
      </c>
      <c r="F109" s="6">
        <f t="shared" si="4"/>
        <v>3420707.613</v>
      </c>
    </row>
    <row r="110" ht="22.5" customHeight="1">
      <c r="A110" s="11">
        <f t="shared" si="2"/>
        <v>109</v>
      </c>
      <c r="B110" s="12">
        <f>'条件'!$B$5</f>
        <v>31673.21864</v>
      </c>
      <c r="C110" s="12">
        <f>E109*'条件'!$B$4</f>
        <v>1511.568452</v>
      </c>
      <c r="D110" s="12">
        <f t="shared" si="1"/>
        <v>30161.65019</v>
      </c>
      <c r="E110" s="12">
        <f t="shared" si="3"/>
        <v>340018.3788</v>
      </c>
      <c r="F110" s="6">
        <f t="shared" si="4"/>
        <v>3452380.832</v>
      </c>
    </row>
    <row r="111" ht="22.5" customHeight="1">
      <c r="A111" s="11">
        <f t="shared" si="2"/>
        <v>110</v>
      </c>
      <c r="B111" s="12">
        <f>'条件'!$B$5</f>
        <v>31673.21864</v>
      </c>
      <c r="C111" s="12">
        <f>E110*'条件'!$B$4</f>
        <v>1388.40838</v>
      </c>
      <c r="D111" s="12">
        <f t="shared" si="1"/>
        <v>30284.81026</v>
      </c>
      <c r="E111" s="12">
        <f t="shared" si="3"/>
        <v>309733.5685</v>
      </c>
      <c r="F111" s="6">
        <f t="shared" si="4"/>
        <v>3484054.051</v>
      </c>
    </row>
    <row r="112" ht="22.5" customHeight="1">
      <c r="A112" s="11">
        <f t="shared" si="2"/>
        <v>111</v>
      </c>
      <c r="B112" s="12">
        <f>'条件'!$B$5</f>
        <v>31673.21864</v>
      </c>
      <c r="C112" s="12">
        <f>E111*'条件'!$B$4</f>
        <v>1264.745405</v>
      </c>
      <c r="D112" s="12">
        <f t="shared" si="1"/>
        <v>30408.47324</v>
      </c>
      <c r="E112" s="12">
        <f t="shared" si="3"/>
        <v>279325.0953</v>
      </c>
      <c r="F112" s="6">
        <f t="shared" si="4"/>
        <v>3515727.269</v>
      </c>
    </row>
    <row r="113" ht="22.5" customHeight="1">
      <c r="A113" s="11">
        <f t="shared" si="2"/>
        <v>112</v>
      </c>
      <c r="B113" s="12">
        <f>'条件'!$B$5</f>
        <v>31673.21864</v>
      </c>
      <c r="C113" s="12">
        <f>E112*'条件'!$B$4</f>
        <v>1140.577472</v>
      </c>
      <c r="D113" s="12">
        <f t="shared" si="1"/>
        <v>30532.64117</v>
      </c>
      <c r="E113" s="12">
        <f t="shared" si="3"/>
        <v>248792.4541</v>
      </c>
      <c r="F113" s="6">
        <f t="shared" si="4"/>
        <v>3547400.488</v>
      </c>
    </row>
    <row r="114" ht="22.5" customHeight="1">
      <c r="A114" s="11">
        <f t="shared" si="2"/>
        <v>113</v>
      </c>
      <c r="B114" s="12">
        <f>'条件'!$B$5</f>
        <v>31673.21864</v>
      </c>
      <c r="C114" s="12">
        <f>E113*'条件'!$B$4</f>
        <v>1015.902521</v>
      </c>
      <c r="D114" s="12">
        <f t="shared" si="1"/>
        <v>30657.31612</v>
      </c>
      <c r="E114" s="12">
        <f t="shared" si="3"/>
        <v>218135.138</v>
      </c>
      <c r="F114" s="6">
        <f t="shared" si="4"/>
        <v>3579073.706</v>
      </c>
    </row>
    <row r="115" ht="22.5" customHeight="1">
      <c r="A115" s="11">
        <f t="shared" si="2"/>
        <v>114</v>
      </c>
      <c r="B115" s="12">
        <f>'条件'!$B$5</f>
        <v>31673.21864</v>
      </c>
      <c r="C115" s="12">
        <f>E114*'条件'!$B$4</f>
        <v>890.7184801</v>
      </c>
      <c r="D115" s="12">
        <f t="shared" si="1"/>
        <v>30782.50016</v>
      </c>
      <c r="E115" s="12">
        <f t="shared" si="3"/>
        <v>187352.6378</v>
      </c>
      <c r="F115" s="6">
        <f t="shared" si="4"/>
        <v>3610746.925</v>
      </c>
    </row>
    <row r="116" ht="22.5" customHeight="1">
      <c r="A116" s="11">
        <f t="shared" si="2"/>
        <v>115</v>
      </c>
      <c r="B116" s="12">
        <f>'条件'!$B$5</f>
        <v>31673.21864</v>
      </c>
      <c r="C116" s="12">
        <f>E115*'条件'!$B$4</f>
        <v>765.0232711</v>
      </c>
      <c r="D116" s="12">
        <f t="shared" si="1"/>
        <v>30908.19537</v>
      </c>
      <c r="E116" s="12">
        <f t="shared" si="3"/>
        <v>156444.4425</v>
      </c>
      <c r="F116" s="6">
        <f t="shared" si="4"/>
        <v>3642420.144</v>
      </c>
    </row>
    <row r="117" ht="22.5" customHeight="1">
      <c r="A117" s="11">
        <f t="shared" si="2"/>
        <v>116</v>
      </c>
      <c r="B117" s="12">
        <f>'条件'!$B$5</f>
        <v>31673.21864</v>
      </c>
      <c r="C117" s="12">
        <f>E116*'条件'!$B$4</f>
        <v>638.8148067</v>
      </c>
      <c r="D117" s="12">
        <f t="shared" si="1"/>
        <v>31034.40383</v>
      </c>
      <c r="E117" s="12">
        <f t="shared" si="3"/>
        <v>125410.0386</v>
      </c>
      <c r="F117" s="6">
        <f t="shared" si="4"/>
        <v>3674093.362</v>
      </c>
    </row>
    <row r="118" ht="22.5" customHeight="1">
      <c r="A118" s="11">
        <f t="shared" si="2"/>
        <v>117</v>
      </c>
      <c r="B118" s="12">
        <f>'条件'!$B$5</f>
        <v>31673.21864</v>
      </c>
      <c r="C118" s="12">
        <f>E117*'条件'!$B$4</f>
        <v>512.0909911</v>
      </c>
      <c r="D118" s="12">
        <f t="shared" si="1"/>
        <v>31161.12765</v>
      </c>
      <c r="E118" s="12">
        <f t="shared" si="3"/>
        <v>94248.91097</v>
      </c>
      <c r="F118" s="6">
        <f t="shared" si="4"/>
        <v>3705766.581</v>
      </c>
    </row>
    <row r="119" ht="22.5" customHeight="1">
      <c r="A119" s="11">
        <f t="shared" si="2"/>
        <v>118</v>
      </c>
      <c r="B119" s="12">
        <f>'条件'!$B$5</f>
        <v>31673.21864</v>
      </c>
      <c r="C119" s="12">
        <f>E118*'条件'!$B$4</f>
        <v>384.8497198</v>
      </c>
      <c r="D119" s="12">
        <f t="shared" si="1"/>
        <v>31288.36892</v>
      </c>
      <c r="E119" s="12">
        <f t="shared" si="3"/>
        <v>62960.54205</v>
      </c>
      <c r="F119" s="6">
        <f t="shared" si="4"/>
        <v>3737439.8</v>
      </c>
    </row>
    <row r="120" ht="22.5" customHeight="1">
      <c r="A120" s="11">
        <f t="shared" si="2"/>
        <v>119</v>
      </c>
      <c r="B120" s="12">
        <f>'条件'!$B$5</f>
        <v>31673.21864</v>
      </c>
      <c r="C120" s="12">
        <f>E119*'条件'!$B$4</f>
        <v>257.08888</v>
      </c>
      <c r="D120" s="12">
        <f t="shared" si="1"/>
        <v>31416.12976</v>
      </c>
      <c r="E120" s="12">
        <f t="shared" si="3"/>
        <v>31544.41229</v>
      </c>
      <c r="F120" s="6">
        <f t="shared" si="4"/>
        <v>3769113.018</v>
      </c>
    </row>
    <row r="121" ht="22.5" customHeight="1">
      <c r="A121" s="11">
        <f t="shared" si="2"/>
        <v>120</v>
      </c>
      <c r="B121" s="12">
        <f>'条件'!$B$5</f>
        <v>31673.21864</v>
      </c>
      <c r="C121" s="12">
        <f>E120*'条件'!$B$4</f>
        <v>128.8063502</v>
      </c>
      <c r="D121" s="12">
        <f t="shared" si="1"/>
        <v>31544.41229</v>
      </c>
      <c r="E121" s="12">
        <f t="shared" si="3"/>
        <v>0.0000000977779564</v>
      </c>
      <c r="F121" s="6">
        <f t="shared" si="4"/>
        <v>3800786.237</v>
      </c>
    </row>
    <row r="122" ht="22.5" customHeight="1">
      <c r="A122" s="11"/>
      <c r="B122" s="12"/>
      <c r="C122" s="12"/>
      <c r="D122" s="12"/>
      <c r="E122" s="12"/>
      <c r="F122" s="6"/>
    </row>
    <row r="123" ht="22.5" customHeight="1">
      <c r="A123" s="11"/>
      <c r="B123" s="12"/>
      <c r="C123" s="12"/>
      <c r="D123" s="12"/>
      <c r="E123" s="12"/>
      <c r="F123" s="6"/>
    </row>
    <row r="124" ht="22.5" customHeight="1">
      <c r="A124" s="11"/>
      <c r="B124" s="12"/>
      <c r="C124" s="12"/>
      <c r="D124" s="12"/>
      <c r="E124" s="12"/>
      <c r="F124" s="6"/>
    </row>
    <row r="125" ht="22.5" customHeight="1">
      <c r="A125" s="11"/>
      <c r="B125" s="12"/>
      <c r="C125" s="12"/>
      <c r="D125" s="12"/>
      <c r="E125" s="12"/>
      <c r="F125" s="6"/>
    </row>
    <row r="126" ht="22.5" customHeight="1">
      <c r="A126" s="11"/>
      <c r="B126" s="12"/>
      <c r="C126" s="12"/>
      <c r="D126" s="12"/>
      <c r="E126" s="12"/>
      <c r="F126" s="6"/>
    </row>
    <row r="127" ht="22.5" customHeight="1">
      <c r="A127" s="11"/>
      <c r="B127" s="12"/>
      <c r="C127" s="12"/>
      <c r="D127" s="12"/>
      <c r="E127" s="12"/>
      <c r="F127" s="6"/>
    </row>
    <row r="128" ht="22.5" customHeight="1">
      <c r="A128" s="11"/>
      <c r="B128" s="12"/>
      <c r="C128" s="12"/>
      <c r="D128" s="12"/>
      <c r="E128" s="12"/>
      <c r="F128" s="6"/>
    </row>
    <row r="129" ht="22.5" customHeight="1">
      <c r="A129" s="13"/>
      <c r="F129" s="6"/>
    </row>
    <row r="130" ht="22.5" customHeight="1">
      <c r="A130" s="13"/>
      <c r="F130" s="6"/>
    </row>
    <row r="131" ht="22.5" customHeight="1">
      <c r="A131" s="13"/>
      <c r="F131" s="6"/>
    </row>
    <row r="132" ht="22.5" customHeight="1">
      <c r="A132" s="13"/>
      <c r="F132" s="6"/>
    </row>
    <row r="133" ht="22.5" customHeight="1">
      <c r="A133" s="13"/>
      <c r="F133" s="6"/>
    </row>
    <row r="134" ht="22.5" customHeight="1">
      <c r="A134" s="13"/>
      <c r="F134" s="6"/>
    </row>
    <row r="135" ht="22.5" customHeight="1">
      <c r="A135" s="13"/>
      <c r="F135" s="6"/>
    </row>
    <row r="136" ht="22.5" customHeight="1">
      <c r="A136" s="13"/>
      <c r="F136" s="6"/>
    </row>
    <row r="137" ht="22.5" customHeight="1">
      <c r="A137" s="13"/>
      <c r="F137" s="6"/>
    </row>
    <row r="138" ht="22.5" customHeight="1">
      <c r="A138" s="13"/>
      <c r="F138" s="6"/>
    </row>
    <row r="139" ht="22.5" customHeight="1">
      <c r="A139" s="13"/>
      <c r="F139" s="6"/>
    </row>
    <row r="140" ht="22.5" customHeight="1">
      <c r="A140" s="13"/>
      <c r="F140" s="6"/>
    </row>
    <row r="141" ht="22.5" customHeight="1">
      <c r="A141" s="13"/>
      <c r="F141" s="6"/>
    </row>
    <row r="142" ht="22.5" customHeight="1">
      <c r="A142" s="13"/>
      <c r="F142" s="6"/>
    </row>
    <row r="143" ht="22.5" customHeight="1">
      <c r="A143" s="13"/>
      <c r="F143" s="6"/>
    </row>
    <row r="144" ht="22.5" customHeight="1">
      <c r="A144" s="13"/>
      <c r="F144" s="6"/>
    </row>
    <row r="145" ht="22.5" customHeight="1">
      <c r="A145" s="13"/>
      <c r="F145" s="6"/>
    </row>
    <row r="146" ht="22.5" customHeight="1">
      <c r="A146" s="13"/>
      <c r="F146" s="6"/>
    </row>
    <row r="147" ht="22.5" customHeight="1">
      <c r="A147" s="13"/>
      <c r="F147" s="6"/>
    </row>
    <row r="148" ht="22.5" customHeight="1">
      <c r="A148" s="13"/>
      <c r="F148" s="6"/>
    </row>
    <row r="149" ht="22.5" customHeight="1">
      <c r="A149" s="13"/>
      <c r="F149" s="6"/>
    </row>
    <row r="150" ht="22.5" customHeight="1">
      <c r="A150" s="13"/>
      <c r="F150" s="6"/>
    </row>
    <row r="151" ht="22.5" customHeight="1">
      <c r="A151" s="13"/>
      <c r="F151" s="6"/>
    </row>
    <row r="152" ht="22.5" customHeight="1">
      <c r="A152" s="13"/>
      <c r="F152" s="6"/>
    </row>
    <row r="153" ht="22.5" customHeight="1">
      <c r="A153" s="13"/>
      <c r="F153" s="6"/>
    </row>
    <row r="154" ht="22.5" customHeight="1">
      <c r="A154" s="13"/>
      <c r="F154" s="6"/>
    </row>
    <row r="155" ht="22.5" customHeight="1">
      <c r="A155" s="13"/>
      <c r="F155" s="6"/>
    </row>
    <row r="156" ht="22.5" customHeight="1">
      <c r="A156" s="13"/>
      <c r="F156" s="6"/>
    </row>
    <row r="157" ht="22.5" customHeight="1">
      <c r="A157" s="13"/>
      <c r="F157" s="6"/>
    </row>
    <row r="158" ht="22.5" customHeight="1">
      <c r="A158" s="13"/>
      <c r="F158" s="6"/>
    </row>
    <row r="159" ht="22.5" customHeight="1">
      <c r="A159" s="13"/>
      <c r="F159" s="6"/>
    </row>
    <row r="160" ht="22.5" customHeight="1">
      <c r="A160" s="13"/>
      <c r="F160" s="6"/>
    </row>
    <row r="161" ht="22.5" customHeight="1">
      <c r="A161" s="13"/>
      <c r="F161" s="6"/>
    </row>
    <row r="162" ht="22.5" customHeight="1">
      <c r="A162" s="13"/>
      <c r="F162" s="6"/>
    </row>
    <row r="163" ht="22.5" customHeight="1">
      <c r="A163" s="13"/>
      <c r="F163" s="6"/>
    </row>
    <row r="164" ht="22.5" customHeight="1">
      <c r="A164" s="13"/>
      <c r="F164" s="6"/>
    </row>
    <row r="165" ht="22.5" customHeight="1">
      <c r="A165" s="13"/>
      <c r="F165" s="6"/>
    </row>
    <row r="166" ht="22.5" customHeight="1">
      <c r="A166" s="13"/>
      <c r="F166" s="6"/>
    </row>
    <row r="167" ht="22.5" customHeight="1">
      <c r="A167" s="13"/>
      <c r="F167" s="6"/>
    </row>
    <row r="168" ht="22.5" customHeight="1">
      <c r="A168" s="13"/>
      <c r="F168" s="6"/>
    </row>
    <row r="169" ht="22.5" customHeight="1">
      <c r="A169" s="13"/>
      <c r="F169" s="6"/>
    </row>
    <row r="170" ht="22.5" customHeight="1">
      <c r="A170" s="13"/>
      <c r="F170" s="6"/>
    </row>
    <row r="171" ht="22.5" customHeight="1">
      <c r="A171" s="13"/>
      <c r="F171" s="6"/>
    </row>
    <row r="172" ht="22.5" customHeight="1">
      <c r="A172" s="13"/>
      <c r="F172" s="6"/>
    </row>
    <row r="173" ht="22.5" customHeight="1">
      <c r="A173" s="13"/>
      <c r="F173" s="6"/>
    </row>
    <row r="174" ht="22.5" customHeight="1">
      <c r="A174" s="13"/>
      <c r="F174" s="6"/>
    </row>
    <row r="175" ht="22.5" customHeight="1">
      <c r="A175" s="13"/>
      <c r="F175" s="6"/>
    </row>
    <row r="176" ht="22.5" customHeight="1">
      <c r="A176" s="13"/>
      <c r="F176" s="6"/>
    </row>
    <row r="177" ht="22.5" customHeight="1">
      <c r="A177" s="13"/>
      <c r="F177" s="6"/>
    </row>
    <row r="178" ht="22.5" customHeight="1">
      <c r="A178" s="13"/>
      <c r="F178" s="6"/>
    </row>
    <row r="179" ht="22.5" customHeight="1">
      <c r="A179" s="13"/>
      <c r="F179" s="6"/>
    </row>
    <row r="180" ht="22.5" customHeight="1">
      <c r="A180" s="13"/>
      <c r="F180" s="6"/>
    </row>
    <row r="181" ht="22.5" customHeight="1">
      <c r="A181" s="13"/>
      <c r="F181" s="6"/>
    </row>
    <row r="182" ht="22.5" customHeight="1">
      <c r="A182" s="13"/>
      <c r="F182" s="6"/>
    </row>
    <row r="183" ht="22.5" customHeight="1">
      <c r="A183" s="13"/>
      <c r="F183" s="6"/>
    </row>
    <row r="184" ht="22.5" customHeight="1">
      <c r="A184" s="13"/>
      <c r="F184" s="6"/>
    </row>
    <row r="185" ht="22.5" customHeight="1">
      <c r="A185" s="13"/>
      <c r="F185" s="6"/>
    </row>
    <row r="186" ht="22.5" customHeight="1">
      <c r="A186" s="13"/>
      <c r="F186" s="6"/>
    </row>
    <row r="187" ht="22.5" customHeight="1">
      <c r="A187" s="13"/>
      <c r="F187" s="6"/>
    </row>
    <row r="188" ht="22.5" customHeight="1">
      <c r="A188" s="13"/>
      <c r="F188" s="6"/>
    </row>
    <row r="189" ht="22.5" customHeight="1">
      <c r="A189" s="13"/>
      <c r="F189" s="6"/>
    </row>
    <row r="190" ht="22.5" customHeight="1">
      <c r="A190" s="13"/>
      <c r="F190" s="6"/>
    </row>
    <row r="191" ht="22.5" customHeight="1">
      <c r="A191" s="13"/>
      <c r="F191" s="6"/>
    </row>
    <row r="192" ht="22.5" customHeight="1">
      <c r="A192" s="13"/>
      <c r="F192" s="6"/>
    </row>
    <row r="193" ht="22.5" customHeight="1">
      <c r="A193" s="13"/>
      <c r="F193" s="6"/>
    </row>
    <row r="194" ht="22.5" customHeight="1">
      <c r="A194" s="13"/>
      <c r="F194" s="6"/>
    </row>
    <row r="195" ht="22.5" customHeight="1">
      <c r="A195" s="13"/>
      <c r="F195" s="6"/>
    </row>
    <row r="196" ht="22.5" customHeight="1">
      <c r="A196" s="13"/>
      <c r="F196" s="6"/>
    </row>
    <row r="197" ht="22.5" customHeight="1">
      <c r="A197" s="13"/>
      <c r="F197" s="6"/>
    </row>
    <row r="198" ht="22.5" customHeight="1">
      <c r="A198" s="13"/>
      <c r="F198" s="6"/>
    </row>
    <row r="199" ht="22.5" customHeight="1">
      <c r="A199" s="13"/>
      <c r="F199" s="6"/>
    </row>
    <row r="200" ht="22.5" customHeight="1">
      <c r="A200" s="13"/>
      <c r="F200" s="6"/>
    </row>
    <row r="201" ht="22.5" customHeight="1">
      <c r="A201" s="13"/>
      <c r="F201" s="6"/>
    </row>
    <row r="202" ht="22.5" customHeight="1">
      <c r="A202" s="13"/>
      <c r="F202" s="6"/>
    </row>
    <row r="203" ht="22.5" customHeight="1">
      <c r="A203" s="13"/>
      <c r="F203" s="6"/>
    </row>
    <row r="204" ht="22.5" customHeight="1">
      <c r="A204" s="13"/>
      <c r="F204" s="6"/>
    </row>
    <row r="205" ht="22.5" customHeight="1">
      <c r="A205" s="13"/>
      <c r="F205" s="6"/>
    </row>
    <row r="206" ht="22.5" customHeight="1">
      <c r="A206" s="13"/>
      <c r="F206" s="6"/>
    </row>
    <row r="207" ht="22.5" customHeight="1">
      <c r="A207" s="13"/>
      <c r="F207" s="6"/>
    </row>
    <row r="208" ht="22.5" customHeight="1">
      <c r="A208" s="13"/>
      <c r="F208" s="6"/>
    </row>
    <row r="209" ht="22.5" customHeight="1">
      <c r="A209" s="13"/>
      <c r="F209" s="6"/>
    </row>
    <row r="210" ht="22.5" customHeight="1">
      <c r="A210" s="13"/>
      <c r="F210" s="6"/>
    </row>
    <row r="211" ht="22.5" customHeight="1">
      <c r="A211" s="13"/>
      <c r="F211" s="6"/>
    </row>
    <row r="212" ht="22.5" customHeight="1">
      <c r="A212" s="13"/>
      <c r="F212" s="6"/>
    </row>
    <row r="213" ht="22.5" customHeight="1">
      <c r="A213" s="13"/>
      <c r="F213" s="6"/>
    </row>
    <row r="214" ht="22.5" customHeight="1">
      <c r="A214" s="13"/>
      <c r="F214" s="6"/>
    </row>
    <row r="215" ht="22.5" customHeight="1">
      <c r="A215" s="13"/>
      <c r="F215" s="6"/>
    </row>
    <row r="216" ht="22.5" customHeight="1">
      <c r="A216" s="13"/>
      <c r="F216" s="6"/>
    </row>
    <row r="217" ht="22.5" customHeight="1">
      <c r="A217" s="13"/>
      <c r="F217" s="6"/>
    </row>
    <row r="218" ht="22.5" customHeight="1">
      <c r="A218" s="13"/>
      <c r="F218" s="6"/>
    </row>
    <row r="219" ht="22.5" customHeight="1">
      <c r="A219" s="13"/>
      <c r="F219" s="6"/>
    </row>
    <row r="220" ht="22.5" customHeight="1">
      <c r="A220" s="13"/>
      <c r="F220" s="6"/>
    </row>
    <row r="221" ht="22.5" customHeight="1">
      <c r="A221" s="13"/>
      <c r="F221" s="6"/>
    </row>
    <row r="222" ht="22.5" customHeight="1">
      <c r="A222" s="13"/>
      <c r="F222" s="6"/>
    </row>
    <row r="223" ht="22.5" customHeight="1">
      <c r="A223" s="13"/>
      <c r="F223" s="6"/>
    </row>
    <row r="224" ht="22.5" customHeight="1">
      <c r="A224" s="13"/>
      <c r="F224" s="6"/>
    </row>
    <row r="225" ht="22.5" customHeight="1">
      <c r="A225" s="13"/>
      <c r="F225" s="6"/>
    </row>
    <row r="226" ht="22.5" customHeight="1">
      <c r="A226" s="13"/>
      <c r="F226" s="6"/>
    </row>
    <row r="227" ht="22.5" customHeight="1">
      <c r="A227" s="13"/>
      <c r="F227" s="6"/>
    </row>
    <row r="228" ht="22.5" customHeight="1">
      <c r="A228" s="13"/>
      <c r="F228" s="6"/>
    </row>
    <row r="229" ht="22.5" customHeight="1">
      <c r="A229" s="13"/>
      <c r="F229" s="6"/>
    </row>
    <row r="230" ht="22.5" customHeight="1">
      <c r="A230" s="13"/>
      <c r="F230" s="6"/>
    </row>
    <row r="231" ht="22.5" customHeight="1">
      <c r="A231" s="13"/>
      <c r="F231" s="6"/>
    </row>
    <row r="232" ht="22.5" customHeight="1">
      <c r="A232" s="13"/>
      <c r="F232" s="6"/>
    </row>
    <row r="233" ht="22.5" customHeight="1">
      <c r="A233" s="13"/>
      <c r="F233" s="6"/>
    </row>
    <row r="234" ht="22.5" customHeight="1">
      <c r="A234" s="13"/>
      <c r="F234" s="6"/>
    </row>
    <row r="235" ht="22.5" customHeight="1">
      <c r="A235" s="13"/>
      <c r="F235" s="6"/>
    </row>
    <row r="236" ht="22.5" customHeight="1">
      <c r="A236" s="13"/>
      <c r="F236" s="6"/>
    </row>
    <row r="237" ht="22.5" customHeight="1">
      <c r="A237" s="13"/>
      <c r="F237" s="6"/>
    </row>
    <row r="238" ht="22.5" customHeight="1">
      <c r="A238" s="13"/>
      <c r="F238" s="6"/>
    </row>
    <row r="239" ht="22.5" customHeight="1">
      <c r="A239" s="13"/>
      <c r="F239" s="6"/>
    </row>
    <row r="240" ht="22.5" customHeight="1">
      <c r="A240" s="13"/>
      <c r="F240" s="6"/>
    </row>
    <row r="241" ht="22.5" customHeight="1">
      <c r="A241" s="13"/>
      <c r="F241" s="6"/>
    </row>
    <row r="242" ht="22.5" customHeight="1">
      <c r="A242" s="13"/>
      <c r="F242" s="6"/>
    </row>
    <row r="243" ht="22.5" customHeight="1">
      <c r="A243" s="13"/>
      <c r="F243" s="6"/>
    </row>
    <row r="244" ht="22.5" customHeight="1">
      <c r="A244" s="13"/>
      <c r="F244" s="6"/>
    </row>
    <row r="245" ht="22.5" customHeight="1">
      <c r="A245" s="13"/>
      <c r="F245" s="6"/>
    </row>
    <row r="246" ht="22.5" customHeight="1">
      <c r="A246" s="13"/>
      <c r="F246" s="6"/>
    </row>
    <row r="247" ht="22.5" customHeight="1">
      <c r="A247" s="13"/>
      <c r="F247" s="6"/>
    </row>
    <row r="248" ht="22.5" customHeight="1">
      <c r="A248" s="13"/>
      <c r="F248" s="6"/>
    </row>
    <row r="249" ht="22.5" customHeight="1">
      <c r="A249" s="13"/>
      <c r="F249" s="6"/>
    </row>
    <row r="250" ht="22.5" customHeight="1">
      <c r="A250" s="13"/>
      <c r="F250" s="6"/>
    </row>
    <row r="251" ht="22.5" customHeight="1">
      <c r="A251" s="13"/>
      <c r="F251" s="6"/>
    </row>
    <row r="252" ht="22.5" customHeight="1">
      <c r="A252" s="13"/>
      <c r="F252" s="6"/>
    </row>
    <row r="253" ht="22.5" customHeight="1">
      <c r="A253" s="13"/>
      <c r="F253" s="6"/>
    </row>
    <row r="254" ht="22.5" customHeight="1">
      <c r="A254" s="13"/>
      <c r="F254" s="6"/>
    </row>
    <row r="255" ht="22.5" customHeight="1">
      <c r="A255" s="13"/>
      <c r="F255" s="6"/>
    </row>
    <row r="256" ht="22.5" customHeight="1">
      <c r="A256" s="13"/>
      <c r="F256" s="6"/>
    </row>
    <row r="257" ht="22.5" customHeight="1">
      <c r="A257" s="13"/>
      <c r="F257" s="6"/>
    </row>
    <row r="258" ht="22.5" customHeight="1">
      <c r="A258" s="13"/>
      <c r="F258" s="6"/>
    </row>
    <row r="259" ht="22.5" customHeight="1">
      <c r="A259" s="13"/>
      <c r="F259" s="6"/>
    </row>
    <row r="260" ht="22.5" customHeight="1">
      <c r="A260" s="13"/>
      <c r="F260" s="6"/>
    </row>
    <row r="261" ht="22.5" customHeight="1">
      <c r="A261" s="13"/>
      <c r="F261" s="6"/>
    </row>
    <row r="262" ht="22.5" customHeight="1">
      <c r="A262" s="13"/>
      <c r="F262" s="6"/>
    </row>
    <row r="263" ht="22.5" customHeight="1">
      <c r="A263" s="13"/>
      <c r="F263" s="6"/>
    </row>
    <row r="264" ht="22.5" customHeight="1">
      <c r="A264" s="13"/>
      <c r="F264" s="6"/>
    </row>
    <row r="265" ht="22.5" customHeight="1">
      <c r="A265" s="13"/>
      <c r="F265" s="6"/>
    </row>
    <row r="266" ht="22.5" customHeight="1">
      <c r="A266" s="13"/>
      <c r="F266" s="6"/>
    </row>
    <row r="267" ht="22.5" customHeight="1">
      <c r="A267" s="13"/>
      <c r="F267" s="6"/>
    </row>
    <row r="268" ht="22.5" customHeight="1">
      <c r="A268" s="13"/>
      <c r="F268" s="6"/>
    </row>
    <row r="269" ht="22.5" customHeight="1">
      <c r="A269" s="13"/>
      <c r="F269" s="6"/>
    </row>
    <row r="270" ht="22.5" customHeight="1">
      <c r="A270" s="13"/>
      <c r="F270" s="6"/>
    </row>
    <row r="271" ht="22.5" customHeight="1">
      <c r="A271" s="13"/>
      <c r="F271" s="6"/>
    </row>
    <row r="272" ht="22.5" customHeight="1">
      <c r="A272" s="13"/>
      <c r="F272" s="6"/>
    </row>
    <row r="273" ht="22.5" customHeight="1">
      <c r="A273" s="13"/>
      <c r="F273" s="6"/>
    </row>
    <row r="274" ht="22.5" customHeight="1">
      <c r="A274" s="13"/>
      <c r="F274" s="6"/>
    </row>
    <row r="275" ht="22.5" customHeight="1">
      <c r="A275" s="13"/>
      <c r="F275" s="6"/>
    </row>
    <row r="276" ht="22.5" customHeight="1">
      <c r="A276" s="13"/>
      <c r="F276" s="6"/>
    </row>
    <row r="277" ht="22.5" customHeight="1">
      <c r="A277" s="13"/>
      <c r="F277" s="6"/>
    </row>
    <row r="278" ht="22.5" customHeight="1">
      <c r="A278" s="13"/>
      <c r="F278" s="6"/>
    </row>
    <row r="279" ht="22.5" customHeight="1">
      <c r="A279" s="13"/>
      <c r="F279" s="6"/>
    </row>
    <row r="280" ht="22.5" customHeight="1">
      <c r="A280" s="13"/>
      <c r="F280" s="6"/>
    </row>
    <row r="281" ht="22.5" customHeight="1">
      <c r="A281" s="13"/>
      <c r="F281" s="6"/>
    </row>
    <row r="282" ht="22.5" customHeight="1">
      <c r="A282" s="13"/>
      <c r="F282" s="6"/>
    </row>
    <row r="283" ht="22.5" customHeight="1">
      <c r="A283" s="13"/>
      <c r="F283" s="6"/>
    </row>
    <row r="284" ht="22.5" customHeight="1">
      <c r="A284" s="13"/>
      <c r="F284" s="6"/>
    </row>
    <row r="285" ht="22.5" customHeight="1">
      <c r="A285" s="13"/>
      <c r="F285" s="6"/>
    </row>
    <row r="286" ht="22.5" customHeight="1">
      <c r="A286" s="13"/>
      <c r="F286" s="6"/>
    </row>
    <row r="287" ht="22.5" customHeight="1">
      <c r="A287" s="13"/>
      <c r="F287" s="6"/>
    </row>
    <row r="288" ht="22.5" customHeight="1">
      <c r="A288" s="13"/>
      <c r="F288" s="6"/>
    </row>
    <row r="289" ht="22.5" customHeight="1">
      <c r="A289" s="13"/>
      <c r="F289" s="6"/>
    </row>
    <row r="290" ht="22.5" customHeight="1">
      <c r="A290" s="13"/>
      <c r="F290" s="6"/>
    </row>
    <row r="291" ht="22.5" customHeight="1">
      <c r="A291" s="13"/>
      <c r="F291" s="6"/>
    </row>
    <row r="292" ht="22.5" customHeight="1">
      <c r="A292" s="13"/>
      <c r="F292" s="6"/>
    </row>
    <row r="293" ht="22.5" customHeight="1">
      <c r="A293" s="13"/>
      <c r="F293" s="6"/>
    </row>
    <row r="294" ht="22.5" customHeight="1">
      <c r="A294" s="13"/>
      <c r="F294" s="6"/>
    </row>
    <row r="295" ht="22.5" customHeight="1">
      <c r="A295" s="13"/>
      <c r="F295" s="6"/>
    </row>
    <row r="296" ht="22.5" customHeight="1">
      <c r="A296" s="13"/>
      <c r="F296" s="6"/>
    </row>
    <row r="297" ht="22.5" customHeight="1">
      <c r="A297" s="13"/>
      <c r="F297" s="6"/>
    </row>
    <row r="298" ht="22.5" customHeight="1">
      <c r="A298" s="13"/>
      <c r="F298" s="6"/>
    </row>
    <row r="299" ht="22.5" customHeight="1">
      <c r="A299" s="13"/>
      <c r="F299" s="6"/>
    </row>
    <row r="300" ht="22.5" customHeight="1">
      <c r="A300" s="13"/>
      <c r="F300" s="6"/>
    </row>
    <row r="301" ht="22.5" customHeight="1">
      <c r="A301" s="13"/>
      <c r="F301" s="6"/>
    </row>
    <row r="302" ht="22.5" customHeight="1">
      <c r="A302" s="13"/>
      <c r="F302" s="6"/>
    </row>
    <row r="303" ht="22.5" customHeight="1">
      <c r="A303" s="13"/>
      <c r="F303" s="6"/>
    </row>
    <row r="304" ht="22.5" customHeight="1">
      <c r="A304" s="13"/>
      <c r="F304" s="6"/>
    </row>
    <row r="305" ht="22.5" customHeight="1">
      <c r="A305" s="13"/>
      <c r="F305" s="6"/>
    </row>
    <row r="306" ht="22.5" customHeight="1">
      <c r="A306" s="13"/>
      <c r="F306" s="6"/>
    </row>
    <row r="307" ht="22.5" customHeight="1">
      <c r="A307" s="13"/>
      <c r="F307" s="6"/>
    </row>
    <row r="308" ht="22.5" customHeight="1">
      <c r="A308" s="13"/>
      <c r="F308" s="6"/>
    </row>
    <row r="309" ht="22.5" customHeight="1">
      <c r="A309" s="13"/>
      <c r="F309" s="6"/>
    </row>
    <row r="310" ht="22.5" customHeight="1">
      <c r="A310" s="13"/>
      <c r="F310" s="6"/>
    </row>
    <row r="311" ht="22.5" customHeight="1">
      <c r="A311" s="13"/>
      <c r="F311" s="6"/>
    </row>
    <row r="312" ht="22.5" customHeight="1">
      <c r="A312" s="13"/>
      <c r="F312" s="6"/>
    </row>
    <row r="313" ht="22.5" customHeight="1">
      <c r="A313" s="13"/>
      <c r="F313" s="6"/>
    </row>
    <row r="314" ht="22.5" customHeight="1">
      <c r="A314" s="13"/>
      <c r="F314" s="6"/>
    </row>
    <row r="315" ht="22.5" customHeight="1">
      <c r="A315" s="13"/>
      <c r="F315" s="6"/>
    </row>
    <row r="316" ht="22.5" customHeight="1">
      <c r="A316" s="13"/>
      <c r="F316" s="6"/>
    </row>
    <row r="317" ht="22.5" customHeight="1">
      <c r="A317" s="13"/>
      <c r="F317" s="6"/>
    </row>
    <row r="318" ht="22.5" customHeight="1">
      <c r="A318" s="13"/>
      <c r="F318" s="6"/>
    </row>
    <row r="319" ht="22.5" customHeight="1">
      <c r="A319" s="13"/>
      <c r="F319" s="6"/>
    </row>
    <row r="320" ht="22.5" customHeight="1">
      <c r="A320" s="13"/>
      <c r="F320" s="6"/>
    </row>
    <row r="321" ht="22.5" customHeight="1">
      <c r="A321" s="13"/>
      <c r="F321" s="6"/>
    </row>
    <row r="322" ht="22.5" customHeight="1">
      <c r="A322" s="13"/>
      <c r="F322" s="6"/>
    </row>
    <row r="323" ht="22.5" customHeight="1">
      <c r="A323" s="13"/>
      <c r="F323" s="6"/>
    </row>
    <row r="324" ht="22.5" customHeight="1">
      <c r="A324" s="13"/>
      <c r="F324" s="6"/>
    </row>
    <row r="325" ht="22.5" customHeight="1">
      <c r="A325" s="13"/>
      <c r="F325" s="6"/>
    </row>
    <row r="326" ht="22.5" customHeight="1">
      <c r="A326" s="13"/>
      <c r="F326" s="6"/>
    </row>
    <row r="327" ht="22.5" customHeight="1">
      <c r="A327" s="13"/>
      <c r="F327" s="6"/>
    </row>
    <row r="328" ht="22.5" customHeight="1">
      <c r="A328" s="13"/>
      <c r="F328" s="6"/>
    </row>
    <row r="329" ht="22.5" customHeight="1">
      <c r="A329" s="13"/>
      <c r="F329" s="6"/>
    </row>
    <row r="330" ht="22.5" customHeight="1">
      <c r="A330" s="13"/>
      <c r="F330" s="6"/>
    </row>
    <row r="331" ht="22.5" customHeight="1">
      <c r="A331" s="13"/>
      <c r="F331" s="6"/>
    </row>
    <row r="332" ht="22.5" customHeight="1">
      <c r="A332" s="13"/>
      <c r="F332" s="6"/>
    </row>
    <row r="333" ht="22.5" customHeight="1">
      <c r="A333" s="13"/>
      <c r="F333" s="6"/>
    </row>
    <row r="334" ht="22.5" customHeight="1">
      <c r="A334" s="13"/>
      <c r="F334" s="6"/>
    </row>
    <row r="335" ht="22.5" customHeight="1">
      <c r="A335" s="13"/>
      <c r="F335" s="6"/>
    </row>
    <row r="336" ht="22.5" customHeight="1">
      <c r="A336" s="13"/>
      <c r="F336" s="6"/>
    </row>
    <row r="337" ht="22.5" customHeight="1">
      <c r="A337" s="13"/>
      <c r="F337" s="6"/>
    </row>
    <row r="338" ht="22.5" customHeight="1">
      <c r="A338" s="13"/>
      <c r="F338" s="6"/>
    </row>
    <row r="339" ht="22.5" customHeight="1">
      <c r="A339" s="13"/>
      <c r="F339" s="6"/>
    </row>
    <row r="340" ht="22.5" customHeight="1">
      <c r="A340" s="13"/>
      <c r="F340" s="6"/>
    </row>
    <row r="341" ht="22.5" customHeight="1">
      <c r="A341" s="13"/>
      <c r="F341" s="6"/>
    </row>
    <row r="342" ht="22.5" customHeight="1">
      <c r="A342" s="13"/>
      <c r="F342" s="6"/>
    </row>
    <row r="343" ht="22.5" customHeight="1">
      <c r="A343" s="13"/>
      <c r="F343" s="6"/>
    </row>
    <row r="344" ht="22.5" customHeight="1">
      <c r="A344" s="13"/>
      <c r="F344" s="6"/>
    </row>
    <row r="345" ht="22.5" customHeight="1">
      <c r="A345" s="13"/>
      <c r="F345" s="6"/>
    </row>
    <row r="346" ht="22.5" customHeight="1">
      <c r="A346" s="13"/>
      <c r="F346" s="6"/>
    </row>
    <row r="347" ht="22.5" customHeight="1">
      <c r="A347" s="13"/>
      <c r="F347" s="6"/>
    </row>
    <row r="348" ht="22.5" customHeight="1">
      <c r="A348" s="13"/>
      <c r="F348" s="6"/>
    </row>
    <row r="349" ht="22.5" customHeight="1">
      <c r="A349" s="13"/>
      <c r="F349" s="6"/>
    </row>
    <row r="350" ht="22.5" customHeight="1">
      <c r="A350" s="13"/>
      <c r="F350" s="6"/>
    </row>
    <row r="351" ht="22.5" customHeight="1">
      <c r="A351" s="13"/>
      <c r="F351" s="6"/>
    </row>
    <row r="352" ht="22.5" customHeight="1">
      <c r="A352" s="13"/>
      <c r="F352" s="6"/>
    </row>
    <row r="353" ht="22.5" customHeight="1">
      <c r="A353" s="13"/>
      <c r="F353" s="6"/>
    </row>
    <row r="354" ht="22.5" customHeight="1">
      <c r="A354" s="13"/>
      <c r="F354" s="6"/>
    </row>
    <row r="355" ht="22.5" customHeight="1">
      <c r="A355" s="13"/>
      <c r="F355" s="6"/>
    </row>
    <row r="356" ht="22.5" customHeight="1">
      <c r="A356" s="13"/>
      <c r="F356" s="6"/>
    </row>
    <row r="357" ht="22.5" customHeight="1">
      <c r="A357" s="13"/>
      <c r="F357" s="6"/>
    </row>
    <row r="358" ht="22.5" customHeight="1">
      <c r="A358" s="13"/>
      <c r="F358" s="6"/>
    </row>
    <row r="359" ht="22.5" customHeight="1">
      <c r="A359" s="13"/>
      <c r="F359" s="6"/>
    </row>
    <row r="360" ht="22.5" customHeight="1">
      <c r="A360" s="13"/>
      <c r="F360" s="6"/>
    </row>
    <row r="361" ht="22.5" customHeight="1">
      <c r="A361" s="13"/>
      <c r="F361" s="6"/>
    </row>
    <row r="362" ht="22.5" customHeight="1">
      <c r="A362" s="13"/>
      <c r="F362" s="6"/>
    </row>
    <row r="363" ht="22.5" customHeight="1">
      <c r="A363" s="13"/>
      <c r="F363" s="6"/>
    </row>
    <row r="364" ht="22.5" customHeight="1">
      <c r="A364" s="13"/>
      <c r="F364" s="6"/>
    </row>
    <row r="365" ht="22.5" customHeight="1">
      <c r="A365" s="13"/>
      <c r="F365" s="6"/>
    </row>
    <row r="366" ht="22.5" customHeight="1">
      <c r="A366" s="13"/>
      <c r="F366" s="6"/>
    </row>
    <row r="367" ht="22.5" customHeight="1">
      <c r="A367" s="13"/>
      <c r="F367" s="6"/>
    </row>
    <row r="368" ht="22.5" customHeight="1">
      <c r="A368" s="13"/>
      <c r="F368" s="6"/>
    </row>
    <row r="369" ht="22.5" customHeight="1">
      <c r="A369" s="13"/>
      <c r="F369" s="6"/>
    </row>
    <row r="370" ht="22.5" customHeight="1">
      <c r="A370" s="13"/>
      <c r="F370" s="6"/>
    </row>
    <row r="371" ht="22.5" customHeight="1">
      <c r="A371" s="13"/>
      <c r="F371" s="6"/>
    </row>
    <row r="372" ht="22.5" customHeight="1">
      <c r="A372" s="13"/>
      <c r="F372" s="6"/>
    </row>
    <row r="373" ht="22.5" customHeight="1">
      <c r="A373" s="13"/>
      <c r="F373" s="6"/>
    </row>
    <row r="374" ht="22.5" customHeight="1">
      <c r="A374" s="13"/>
      <c r="F374" s="6"/>
    </row>
    <row r="375" ht="22.5" customHeight="1">
      <c r="A375" s="13"/>
      <c r="F375" s="6"/>
    </row>
    <row r="376" ht="22.5" customHeight="1">
      <c r="A376" s="13"/>
      <c r="F376" s="6"/>
    </row>
    <row r="377" ht="22.5" customHeight="1">
      <c r="A377" s="13"/>
      <c r="F377" s="6"/>
    </row>
    <row r="378" ht="22.5" customHeight="1">
      <c r="A378" s="13"/>
      <c r="F378" s="6"/>
    </row>
    <row r="379" ht="22.5" customHeight="1">
      <c r="A379" s="13"/>
      <c r="F379" s="6"/>
    </row>
    <row r="380" ht="22.5" customHeight="1">
      <c r="A380" s="13"/>
      <c r="F380" s="6"/>
    </row>
    <row r="381" ht="22.5" customHeight="1">
      <c r="A381" s="13"/>
      <c r="F381" s="6"/>
    </row>
    <row r="382" ht="22.5" customHeight="1">
      <c r="A382" s="13"/>
      <c r="F382" s="6"/>
    </row>
    <row r="383" ht="22.5" customHeight="1">
      <c r="A383" s="13"/>
      <c r="F383" s="6"/>
    </row>
    <row r="384" ht="22.5" customHeight="1">
      <c r="A384" s="13"/>
      <c r="F384" s="6"/>
    </row>
    <row r="385" ht="22.5" customHeight="1">
      <c r="A385" s="13"/>
      <c r="F385" s="6"/>
    </row>
    <row r="386" ht="22.5" customHeight="1">
      <c r="A386" s="13"/>
      <c r="F386" s="6"/>
    </row>
    <row r="387" ht="22.5" customHeight="1">
      <c r="A387" s="13"/>
      <c r="F387" s="6"/>
    </row>
    <row r="388" ht="22.5" customHeight="1">
      <c r="A388" s="13"/>
      <c r="F388" s="6"/>
    </row>
    <row r="389" ht="22.5" customHeight="1">
      <c r="A389" s="13"/>
      <c r="F389" s="6"/>
    </row>
    <row r="390" ht="22.5" customHeight="1">
      <c r="A390" s="13"/>
      <c r="F390" s="6"/>
    </row>
    <row r="391" ht="22.5" customHeight="1">
      <c r="A391" s="13"/>
      <c r="F391" s="6"/>
    </row>
    <row r="392" ht="22.5" customHeight="1">
      <c r="A392" s="13"/>
      <c r="F392" s="6"/>
    </row>
    <row r="393" ht="22.5" customHeight="1">
      <c r="A393" s="13"/>
      <c r="F393" s="6"/>
    </row>
    <row r="394" ht="22.5" customHeight="1">
      <c r="A394" s="13"/>
      <c r="F394" s="6"/>
    </row>
    <row r="395" ht="22.5" customHeight="1">
      <c r="A395" s="13"/>
      <c r="F395" s="6"/>
    </row>
    <row r="396" ht="22.5" customHeight="1">
      <c r="A396" s="13"/>
      <c r="F396" s="6"/>
    </row>
    <row r="397" ht="22.5" customHeight="1">
      <c r="A397" s="13"/>
      <c r="F397" s="6"/>
    </row>
    <row r="398" ht="22.5" customHeight="1">
      <c r="A398" s="13"/>
      <c r="F398" s="6"/>
    </row>
    <row r="399" ht="22.5" customHeight="1">
      <c r="A399" s="13"/>
      <c r="F399" s="6"/>
    </row>
    <row r="400" ht="22.5" customHeight="1">
      <c r="A400" s="13"/>
      <c r="F400" s="6"/>
    </row>
    <row r="401" ht="22.5" customHeight="1">
      <c r="A401" s="13"/>
      <c r="F401" s="6"/>
    </row>
    <row r="402" ht="22.5" customHeight="1">
      <c r="A402" s="13"/>
      <c r="F402" s="6"/>
    </row>
    <row r="403" ht="22.5" customHeight="1">
      <c r="A403" s="13"/>
      <c r="F403" s="6"/>
    </row>
    <row r="404" ht="22.5" customHeight="1">
      <c r="A404" s="13"/>
      <c r="F404" s="6"/>
    </row>
    <row r="405" ht="22.5" customHeight="1">
      <c r="A405" s="13"/>
      <c r="F405" s="6"/>
    </row>
    <row r="406" ht="22.5" customHeight="1">
      <c r="A406" s="13"/>
      <c r="F406" s="6"/>
    </row>
    <row r="407" ht="22.5" customHeight="1">
      <c r="A407" s="13"/>
      <c r="F407" s="6"/>
    </row>
    <row r="408" ht="22.5" customHeight="1">
      <c r="A408" s="13"/>
      <c r="F408" s="6"/>
    </row>
    <row r="409" ht="22.5" customHeight="1">
      <c r="A409" s="13"/>
      <c r="F409" s="6"/>
    </row>
    <row r="410" ht="22.5" customHeight="1">
      <c r="A410" s="13"/>
      <c r="F410" s="6"/>
    </row>
    <row r="411" ht="22.5" customHeight="1">
      <c r="A411" s="13"/>
      <c r="F411" s="6"/>
    </row>
    <row r="412" ht="22.5" customHeight="1">
      <c r="A412" s="13"/>
      <c r="F412" s="6"/>
    </row>
    <row r="413" ht="22.5" customHeight="1">
      <c r="A413" s="13"/>
      <c r="F413" s="6"/>
    </row>
    <row r="414" ht="22.5" customHeight="1">
      <c r="A414" s="13"/>
      <c r="F414" s="6"/>
    </row>
    <row r="415" ht="22.5" customHeight="1">
      <c r="A415" s="13"/>
      <c r="F415" s="6"/>
    </row>
    <row r="416" ht="22.5" customHeight="1">
      <c r="A416" s="13"/>
      <c r="F416" s="6"/>
    </row>
    <row r="417" ht="22.5" customHeight="1">
      <c r="A417" s="13"/>
      <c r="F417" s="6"/>
    </row>
    <row r="418" ht="22.5" customHeight="1">
      <c r="A418" s="13"/>
      <c r="F418" s="6"/>
    </row>
    <row r="419" ht="22.5" customHeight="1">
      <c r="A419" s="13"/>
      <c r="F419" s="6"/>
    </row>
    <row r="420" ht="22.5" customHeight="1">
      <c r="A420" s="13"/>
      <c r="F420" s="6"/>
    </row>
    <row r="421" ht="22.5" customHeight="1">
      <c r="A421" s="13"/>
      <c r="F421" s="6"/>
    </row>
    <row r="422" ht="22.5" customHeight="1">
      <c r="A422" s="13"/>
      <c r="F422" s="6"/>
    </row>
    <row r="423" ht="22.5" customHeight="1">
      <c r="A423" s="13"/>
      <c r="F423" s="6"/>
    </row>
    <row r="424" ht="22.5" customHeight="1">
      <c r="A424" s="13"/>
      <c r="F424" s="6"/>
    </row>
    <row r="425" ht="22.5" customHeight="1">
      <c r="A425" s="13"/>
      <c r="F425" s="6"/>
    </row>
    <row r="426" ht="22.5" customHeight="1">
      <c r="A426" s="13"/>
      <c r="F426" s="6"/>
    </row>
    <row r="427" ht="22.5" customHeight="1">
      <c r="A427" s="13"/>
      <c r="F427" s="6"/>
    </row>
    <row r="428" ht="22.5" customHeight="1">
      <c r="A428" s="13"/>
      <c r="F428" s="6"/>
    </row>
    <row r="429" ht="22.5" customHeight="1">
      <c r="A429" s="13"/>
      <c r="F429" s="6"/>
    </row>
    <row r="430" ht="22.5" customHeight="1">
      <c r="A430" s="13"/>
      <c r="F430" s="6"/>
    </row>
    <row r="431" ht="22.5" customHeight="1">
      <c r="A431" s="13"/>
      <c r="F431" s="6"/>
    </row>
    <row r="432" ht="22.5" customHeight="1">
      <c r="A432" s="13"/>
      <c r="F432" s="6"/>
    </row>
    <row r="433" ht="22.5" customHeight="1">
      <c r="A433" s="13"/>
      <c r="F433" s="6"/>
    </row>
    <row r="434" ht="22.5" customHeight="1">
      <c r="A434" s="13"/>
      <c r="F434" s="6"/>
    </row>
    <row r="435" ht="22.5" customHeight="1">
      <c r="A435" s="13"/>
      <c r="F435" s="6"/>
    </row>
    <row r="436" ht="22.5" customHeight="1">
      <c r="A436" s="13"/>
      <c r="F436" s="6"/>
    </row>
    <row r="437" ht="22.5" customHeight="1">
      <c r="A437" s="13"/>
      <c r="F437" s="6"/>
    </row>
    <row r="438" ht="22.5" customHeight="1">
      <c r="A438" s="13"/>
      <c r="F438" s="6"/>
    </row>
    <row r="439" ht="22.5" customHeight="1">
      <c r="A439" s="13"/>
      <c r="F439" s="6"/>
    </row>
    <row r="440" ht="22.5" customHeight="1">
      <c r="A440" s="13"/>
      <c r="F440" s="6"/>
    </row>
    <row r="441" ht="22.5" customHeight="1">
      <c r="A441" s="13"/>
      <c r="F441" s="6"/>
    </row>
    <row r="442" ht="22.5" customHeight="1">
      <c r="A442" s="13"/>
      <c r="F442" s="6"/>
    </row>
    <row r="443" ht="22.5" customHeight="1">
      <c r="A443" s="13"/>
      <c r="F443" s="6"/>
    </row>
    <row r="444" ht="22.5" customHeight="1">
      <c r="A444" s="13"/>
      <c r="F444" s="6"/>
    </row>
    <row r="445" ht="22.5" customHeight="1">
      <c r="A445" s="13"/>
      <c r="F445" s="6"/>
    </row>
    <row r="446" ht="22.5" customHeight="1">
      <c r="A446" s="13"/>
      <c r="F446" s="6"/>
    </row>
    <row r="447" ht="22.5" customHeight="1">
      <c r="A447" s="13"/>
      <c r="F447" s="6"/>
    </row>
    <row r="448" ht="22.5" customHeight="1">
      <c r="A448" s="13"/>
      <c r="F448" s="6"/>
    </row>
    <row r="449" ht="22.5" customHeight="1">
      <c r="A449" s="13"/>
      <c r="F449" s="6"/>
    </row>
    <row r="450" ht="22.5" customHeight="1">
      <c r="A450" s="13"/>
      <c r="F450" s="6"/>
    </row>
    <row r="451" ht="22.5" customHeight="1">
      <c r="A451" s="13"/>
      <c r="F451" s="6"/>
    </row>
    <row r="452" ht="22.5" customHeight="1">
      <c r="A452" s="13"/>
      <c r="F452" s="6"/>
    </row>
    <row r="453" ht="22.5" customHeight="1">
      <c r="A453" s="13"/>
      <c r="F453" s="6"/>
    </row>
    <row r="454" ht="22.5" customHeight="1">
      <c r="A454" s="13"/>
      <c r="F454" s="6"/>
    </row>
    <row r="455" ht="22.5" customHeight="1">
      <c r="A455" s="13"/>
      <c r="F455" s="6"/>
    </row>
    <row r="456" ht="22.5" customHeight="1">
      <c r="A456" s="13"/>
      <c r="F456" s="6"/>
    </row>
    <row r="457" ht="22.5" customHeight="1">
      <c r="A457" s="13"/>
      <c r="F457" s="6"/>
    </row>
    <row r="458" ht="22.5" customHeight="1">
      <c r="A458" s="13"/>
      <c r="F458" s="6"/>
    </row>
    <row r="459" ht="22.5" customHeight="1">
      <c r="A459" s="13"/>
      <c r="F459" s="6"/>
    </row>
    <row r="460" ht="22.5" customHeight="1">
      <c r="A460" s="13"/>
      <c r="F460" s="6"/>
    </row>
    <row r="461" ht="22.5" customHeight="1">
      <c r="A461" s="13"/>
      <c r="F461" s="6"/>
    </row>
    <row r="462" ht="22.5" customHeight="1">
      <c r="A462" s="13"/>
      <c r="F462" s="6"/>
    </row>
    <row r="463" ht="22.5" customHeight="1">
      <c r="A463" s="13"/>
      <c r="F463" s="6"/>
    </row>
    <row r="464" ht="22.5" customHeight="1">
      <c r="A464" s="13"/>
      <c r="F464" s="6"/>
    </row>
    <row r="465" ht="22.5" customHeight="1">
      <c r="A465" s="13"/>
      <c r="F465" s="6"/>
    </row>
    <row r="466" ht="22.5" customHeight="1">
      <c r="A466" s="13"/>
      <c r="F466" s="6"/>
    </row>
    <row r="467" ht="22.5" customHeight="1">
      <c r="A467" s="13"/>
      <c r="F467" s="6"/>
    </row>
    <row r="468" ht="22.5" customHeight="1">
      <c r="A468" s="13"/>
      <c r="F468" s="6"/>
    </row>
    <row r="469" ht="22.5" customHeight="1">
      <c r="A469" s="13"/>
      <c r="F469" s="6"/>
    </row>
    <row r="470" ht="22.5" customHeight="1">
      <c r="A470" s="13"/>
      <c r="F470" s="6"/>
    </row>
    <row r="471" ht="22.5" customHeight="1">
      <c r="A471" s="13"/>
      <c r="F471" s="6"/>
    </row>
    <row r="472" ht="22.5" customHeight="1">
      <c r="A472" s="13"/>
      <c r="F472" s="6"/>
    </row>
    <row r="473" ht="22.5" customHeight="1">
      <c r="A473" s="13"/>
      <c r="F473" s="6"/>
    </row>
    <row r="474" ht="22.5" customHeight="1">
      <c r="A474" s="13"/>
      <c r="F474" s="6"/>
    </row>
    <row r="475" ht="22.5" customHeight="1">
      <c r="A475" s="13"/>
      <c r="F475" s="6"/>
    </row>
    <row r="476" ht="22.5" customHeight="1">
      <c r="A476" s="13"/>
      <c r="F476" s="6"/>
    </row>
    <row r="477" ht="22.5" customHeight="1">
      <c r="A477" s="13"/>
      <c r="F477" s="6"/>
    </row>
    <row r="478" ht="22.5" customHeight="1">
      <c r="A478" s="13"/>
      <c r="F478" s="6"/>
    </row>
    <row r="479" ht="22.5" customHeight="1">
      <c r="A479" s="13"/>
      <c r="F479" s="6"/>
    </row>
    <row r="480" ht="22.5" customHeight="1">
      <c r="A480" s="13"/>
      <c r="F480" s="6"/>
    </row>
    <row r="481" ht="22.5" customHeight="1">
      <c r="A481" s="13"/>
      <c r="F481" s="6"/>
    </row>
    <row r="482" ht="22.5" customHeight="1">
      <c r="A482" s="13"/>
      <c r="F482" s="6"/>
    </row>
    <row r="483" ht="22.5" customHeight="1">
      <c r="A483" s="13"/>
      <c r="F483" s="6"/>
    </row>
    <row r="484" ht="22.5" customHeight="1">
      <c r="A484" s="13"/>
      <c r="F484" s="6"/>
    </row>
    <row r="485" ht="22.5" customHeight="1">
      <c r="A485" s="13"/>
      <c r="F485" s="6"/>
    </row>
    <row r="486" ht="22.5" customHeight="1">
      <c r="A486" s="13"/>
      <c r="F486" s="6"/>
    </row>
    <row r="487" ht="22.5" customHeight="1">
      <c r="A487" s="13"/>
      <c r="F487" s="6"/>
    </row>
    <row r="488" ht="22.5" customHeight="1">
      <c r="A488" s="13"/>
      <c r="F488" s="6"/>
    </row>
    <row r="489" ht="22.5" customHeight="1">
      <c r="A489" s="13"/>
      <c r="F489" s="6"/>
    </row>
    <row r="490" ht="22.5" customHeight="1">
      <c r="A490" s="13"/>
      <c r="F490" s="6"/>
    </row>
    <row r="491" ht="22.5" customHeight="1">
      <c r="A491" s="13"/>
      <c r="F491" s="6"/>
    </row>
    <row r="492" ht="22.5" customHeight="1">
      <c r="A492" s="13"/>
      <c r="F492" s="6"/>
    </row>
    <row r="493" ht="22.5" customHeight="1">
      <c r="A493" s="13"/>
      <c r="F493" s="6"/>
    </row>
    <row r="494" ht="22.5" customHeight="1">
      <c r="A494" s="13"/>
      <c r="F494" s="6"/>
    </row>
    <row r="495" ht="22.5" customHeight="1">
      <c r="A495" s="13"/>
      <c r="F495" s="6"/>
    </row>
    <row r="496" ht="22.5" customHeight="1">
      <c r="A496" s="13"/>
      <c r="F496" s="6"/>
    </row>
    <row r="497" ht="22.5" customHeight="1">
      <c r="A497" s="13"/>
      <c r="F497" s="6"/>
    </row>
    <row r="498" ht="22.5" customHeight="1">
      <c r="A498" s="13"/>
      <c r="F498" s="6"/>
    </row>
    <row r="499" ht="22.5" customHeight="1">
      <c r="A499" s="13"/>
      <c r="F499" s="6"/>
    </row>
    <row r="500" ht="22.5" customHeight="1">
      <c r="A500" s="13"/>
      <c r="F500" s="6"/>
    </row>
    <row r="501" ht="22.5" customHeight="1">
      <c r="A501" s="13"/>
      <c r="F501" s="6"/>
    </row>
    <row r="502" ht="22.5" customHeight="1">
      <c r="A502" s="13"/>
      <c r="F502" s="6"/>
    </row>
    <row r="503" ht="22.5" customHeight="1">
      <c r="A503" s="13"/>
      <c r="F503" s="6"/>
    </row>
    <row r="504" ht="22.5" customHeight="1">
      <c r="A504" s="13"/>
      <c r="F504" s="6"/>
    </row>
    <row r="505" ht="22.5" customHeight="1">
      <c r="A505" s="13"/>
      <c r="F505" s="6"/>
    </row>
    <row r="506" ht="22.5" customHeight="1">
      <c r="A506" s="13"/>
      <c r="F506" s="6"/>
    </row>
    <row r="507" ht="22.5" customHeight="1">
      <c r="A507" s="13"/>
      <c r="F507" s="6"/>
    </row>
    <row r="508" ht="22.5" customHeight="1">
      <c r="A508" s="13"/>
      <c r="F508" s="6"/>
    </row>
    <row r="509" ht="22.5" customHeight="1">
      <c r="A509" s="13"/>
      <c r="F509" s="6"/>
    </row>
    <row r="510" ht="22.5" customHeight="1">
      <c r="A510" s="13"/>
      <c r="F510" s="6"/>
    </row>
    <row r="511" ht="22.5" customHeight="1">
      <c r="A511" s="13"/>
      <c r="F511" s="6"/>
    </row>
    <row r="512" ht="22.5" customHeight="1">
      <c r="A512" s="13"/>
      <c r="F512" s="6"/>
    </row>
    <row r="513" ht="22.5" customHeight="1">
      <c r="A513" s="13"/>
      <c r="F513" s="6"/>
    </row>
    <row r="514" ht="22.5" customHeight="1">
      <c r="A514" s="13"/>
      <c r="F514" s="6"/>
    </row>
    <row r="515" ht="22.5" customHeight="1">
      <c r="A515" s="13"/>
      <c r="F515" s="6"/>
    </row>
    <row r="516" ht="22.5" customHeight="1">
      <c r="A516" s="13"/>
      <c r="F516" s="6"/>
    </row>
    <row r="517" ht="22.5" customHeight="1">
      <c r="A517" s="13"/>
      <c r="F517" s="6"/>
    </row>
    <row r="518" ht="22.5" customHeight="1">
      <c r="A518" s="13"/>
      <c r="F518" s="6"/>
    </row>
    <row r="519" ht="22.5" customHeight="1">
      <c r="A519" s="13"/>
      <c r="F519" s="6"/>
    </row>
    <row r="520" ht="22.5" customHeight="1">
      <c r="A520" s="13"/>
      <c r="F520" s="6"/>
    </row>
    <row r="521" ht="22.5" customHeight="1">
      <c r="A521" s="13"/>
      <c r="F521" s="6"/>
    </row>
    <row r="522" ht="22.5" customHeight="1">
      <c r="A522" s="13"/>
      <c r="F522" s="6"/>
    </row>
    <row r="523" ht="22.5" customHeight="1">
      <c r="A523" s="13"/>
      <c r="F523" s="6"/>
    </row>
    <row r="524" ht="22.5" customHeight="1">
      <c r="A524" s="13"/>
      <c r="F524" s="6"/>
    </row>
    <row r="525" ht="22.5" customHeight="1">
      <c r="A525" s="13"/>
      <c r="F525" s="6"/>
    </row>
    <row r="526" ht="22.5" customHeight="1">
      <c r="A526" s="13"/>
      <c r="F526" s="6"/>
    </row>
    <row r="527" ht="22.5" customHeight="1">
      <c r="A527" s="13"/>
      <c r="F527" s="6"/>
    </row>
    <row r="528" ht="22.5" customHeight="1">
      <c r="A528" s="13"/>
      <c r="F528" s="6"/>
    </row>
    <row r="529" ht="22.5" customHeight="1">
      <c r="A529" s="13"/>
      <c r="F529" s="6"/>
    </row>
    <row r="530" ht="22.5" customHeight="1">
      <c r="A530" s="13"/>
      <c r="F530" s="6"/>
    </row>
    <row r="531" ht="22.5" customHeight="1">
      <c r="A531" s="13"/>
      <c r="F531" s="6"/>
    </row>
    <row r="532" ht="22.5" customHeight="1">
      <c r="A532" s="13"/>
      <c r="F532" s="6"/>
    </row>
    <row r="533" ht="22.5" customHeight="1">
      <c r="A533" s="13"/>
      <c r="F533" s="6"/>
    </row>
    <row r="534" ht="22.5" customHeight="1">
      <c r="A534" s="13"/>
      <c r="F534" s="6"/>
    </row>
    <row r="535" ht="22.5" customHeight="1">
      <c r="A535" s="13"/>
      <c r="F535" s="6"/>
    </row>
    <row r="536" ht="22.5" customHeight="1">
      <c r="A536" s="13"/>
      <c r="F536" s="6"/>
    </row>
    <row r="537" ht="22.5" customHeight="1">
      <c r="A537" s="13"/>
      <c r="F537" s="6"/>
    </row>
    <row r="538" ht="22.5" customHeight="1">
      <c r="A538" s="13"/>
      <c r="F538" s="6"/>
    </row>
    <row r="539" ht="22.5" customHeight="1">
      <c r="A539" s="13"/>
      <c r="F539" s="6"/>
    </row>
    <row r="540" ht="22.5" customHeight="1">
      <c r="A540" s="13"/>
      <c r="F540" s="6"/>
    </row>
    <row r="541" ht="22.5" customHeight="1">
      <c r="A541" s="13"/>
      <c r="F541" s="6"/>
    </row>
    <row r="542" ht="22.5" customHeight="1">
      <c r="A542" s="13"/>
      <c r="F542" s="6"/>
    </row>
    <row r="543" ht="22.5" customHeight="1">
      <c r="A543" s="13"/>
      <c r="F543" s="6"/>
    </row>
    <row r="544" ht="22.5" customHeight="1">
      <c r="A544" s="13"/>
      <c r="F544" s="6"/>
    </row>
    <row r="545" ht="22.5" customHeight="1">
      <c r="A545" s="13"/>
      <c r="F545" s="6"/>
    </row>
    <row r="546" ht="22.5" customHeight="1">
      <c r="A546" s="13"/>
      <c r="F546" s="6"/>
    </row>
    <row r="547" ht="22.5" customHeight="1">
      <c r="A547" s="13"/>
      <c r="F547" s="6"/>
    </row>
    <row r="548" ht="22.5" customHeight="1">
      <c r="A548" s="13"/>
      <c r="F548" s="6"/>
    </row>
    <row r="549" ht="22.5" customHeight="1">
      <c r="A549" s="13"/>
      <c r="F549" s="6"/>
    </row>
    <row r="550" ht="22.5" customHeight="1">
      <c r="A550" s="13"/>
      <c r="F550" s="6"/>
    </row>
    <row r="551" ht="22.5" customHeight="1">
      <c r="A551" s="13"/>
      <c r="F551" s="6"/>
    </row>
    <row r="552" ht="22.5" customHeight="1">
      <c r="A552" s="13"/>
      <c r="F552" s="6"/>
    </row>
    <row r="553" ht="22.5" customHeight="1">
      <c r="A553" s="13"/>
      <c r="F553" s="6"/>
    </row>
    <row r="554" ht="22.5" customHeight="1">
      <c r="A554" s="13"/>
      <c r="F554" s="6"/>
    </row>
    <row r="555" ht="22.5" customHeight="1">
      <c r="A555" s="13"/>
      <c r="F555" s="6"/>
    </row>
    <row r="556" ht="22.5" customHeight="1">
      <c r="A556" s="13"/>
      <c r="F556" s="6"/>
    </row>
    <row r="557" ht="22.5" customHeight="1">
      <c r="A557" s="13"/>
      <c r="F557" s="6"/>
    </row>
    <row r="558" ht="22.5" customHeight="1">
      <c r="A558" s="13"/>
      <c r="F558" s="6"/>
    </row>
    <row r="559" ht="22.5" customHeight="1">
      <c r="A559" s="13"/>
      <c r="F559" s="6"/>
    </row>
    <row r="560" ht="22.5" customHeight="1">
      <c r="A560" s="13"/>
      <c r="F560" s="6"/>
    </row>
    <row r="561" ht="22.5" customHeight="1">
      <c r="A561" s="13"/>
      <c r="F561" s="6"/>
    </row>
    <row r="562" ht="22.5" customHeight="1">
      <c r="A562" s="13"/>
      <c r="F562" s="6"/>
    </row>
    <row r="563" ht="22.5" customHeight="1">
      <c r="A563" s="13"/>
      <c r="F563" s="6"/>
    </row>
    <row r="564" ht="22.5" customHeight="1">
      <c r="A564" s="13"/>
      <c r="F564" s="6"/>
    </row>
    <row r="565" ht="22.5" customHeight="1">
      <c r="A565" s="13"/>
      <c r="F565" s="6"/>
    </row>
    <row r="566" ht="22.5" customHeight="1">
      <c r="A566" s="13"/>
      <c r="F566" s="6"/>
    </row>
    <row r="567" ht="22.5" customHeight="1">
      <c r="A567" s="13"/>
      <c r="F567" s="6"/>
    </row>
    <row r="568" ht="22.5" customHeight="1">
      <c r="A568" s="13"/>
      <c r="F568" s="6"/>
    </row>
    <row r="569" ht="22.5" customHeight="1">
      <c r="A569" s="13"/>
      <c r="F569" s="6"/>
    </row>
    <row r="570" ht="22.5" customHeight="1">
      <c r="A570" s="13"/>
      <c r="F570" s="6"/>
    </row>
    <row r="571" ht="22.5" customHeight="1">
      <c r="A571" s="13"/>
      <c r="F571" s="6"/>
    </row>
    <row r="572" ht="22.5" customHeight="1">
      <c r="A572" s="13"/>
      <c r="F572" s="6"/>
    </row>
    <row r="573" ht="22.5" customHeight="1">
      <c r="A573" s="13"/>
      <c r="F573" s="6"/>
    </row>
    <row r="574" ht="22.5" customHeight="1">
      <c r="A574" s="13"/>
      <c r="F574" s="6"/>
    </row>
    <row r="575" ht="22.5" customHeight="1">
      <c r="A575" s="13"/>
      <c r="F575" s="6"/>
    </row>
    <row r="576" ht="22.5" customHeight="1">
      <c r="A576" s="13"/>
      <c r="F576" s="6"/>
    </row>
    <row r="577" ht="22.5" customHeight="1">
      <c r="A577" s="13"/>
      <c r="F577" s="6"/>
    </row>
    <row r="578" ht="22.5" customHeight="1">
      <c r="A578" s="13"/>
      <c r="F578" s="6"/>
    </row>
    <row r="579" ht="22.5" customHeight="1">
      <c r="A579" s="13"/>
      <c r="F579" s="6"/>
    </row>
    <row r="580" ht="22.5" customHeight="1">
      <c r="A580" s="13"/>
      <c r="F580" s="6"/>
    </row>
    <row r="581" ht="22.5" customHeight="1">
      <c r="A581" s="13"/>
      <c r="F581" s="6"/>
    </row>
    <row r="582" ht="22.5" customHeight="1">
      <c r="A582" s="13"/>
      <c r="F582" s="6"/>
    </row>
    <row r="583" ht="22.5" customHeight="1">
      <c r="A583" s="13"/>
      <c r="F583" s="6"/>
    </row>
    <row r="584" ht="22.5" customHeight="1">
      <c r="A584" s="13"/>
      <c r="F584" s="6"/>
    </row>
    <row r="585" ht="22.5" customHeight="1">
      <c r="A585" s="13"/>
      <c r="F585" s="6"/>
    </row>
    <row r="586" ht="22.5" customHeight="1">
      <c r="A586" s="13"/>
      <c r="F586" s="6"/>
    </row>
    <row r="587" ht="22.5" customHeight="1">
      <c r="A587" s="13"/>
      <c r="F587" s="6"/>
    </row>
    <row r="588" ht="22.5" customHeight="1">
      <c r="A588" s="13"/>
      <c r="F588" s="6"/>
    </row>
    <row r="589" ht="22.5" customHeight="1">
      <c r="A589" s="13"/>
      <c r="F589" s="6"/>
    </row>
    <row r="590" ht="22.5" customHeight="1">
      <c r="A590" s="13"/>
      <c r="F590" s="6"/>
    </row>
    <row r="591" ht="22.5" customHeight="1">
      <c r="A591" s="13"/>
      <c r="F591" s="6"/>
    </row>
    <row r="592" ht="22.5" customHeight="1">
      <c r="A592" s="13"/>
      <c r="F592" s="6"/>
    </row>
    <row r="593" ht="22.5" customHeight="1">
      <c r="A593" s="13"/>
      <c r="F593" s="6"/>
    </row>
    <row r="594" ht="22.5" customHeight="1">
      <c r="A594" s="13"/>
      <c r="F594" s="6"/>
    </row>
    <row r="595" ht="22.5" customHeight="1">
      <c r="A595" s="13"/>
      <c r="F595" s="6"/>
    </row>
    <row r="596" ht="22.5" customHeight="1">
      <c r="A596" s="13"/>
      <c r="F596" s="6"/>
    </row>
    <row r="597" ht="22.5" customHeight="1">
      <c r="A597" s="13"/>
      <c r="F597" s="6"/>
    </row>
    <row r="598" ht="22.5" customHeight="1">
      <c r="A598" s="13"/>
      <c r="F598" s="6"/>
    </row>
    <row r="599" ht="22.5" customHeight="1">
      <c r="A599" s="13"/>
      <c r="F599" s="6"/>
    </row>
    <row r="600" ht="22.5" customHeight="1">
      <c r="A600" s="13"/>
      <c r="F600" s="6"/>
    </row>
    <row r="601" ht="22.5" customHeight="1">
      <c r="A601" s="13"/>
      <c r="F601" s="6"/>
    </row>
    <row r="602" ht="22.5" customHeight="1">
      <c r="A602" s="13"/>
      <c r="F602" s="6"/>
    </row>
    <row r="603" ht="22.5" customHeight="1">
      <c r="A603" s="13"/>
      <c r="F603" s="6"/>
    </row>
    <row r="604" ht="22.5" customHeight="1">
      <c r="A604" s="13"/>
      <c r="F604" s="6"/>
    </row>
    <row r="605" ht="22.5" customHeight="1">
      <c r="A605" s="13"/>
      <c r="F605" s="6"/>
    </row>
    <row r="606" ht="22.5" customHeight="1">
      <c r="A606" s="13"/>
      <c r="F606" s="6"/>
    </row>
    <row r="607" ht="22.5" customHeight="1">
      <c r="A607" s="13"/>
      <c r="F607" s="6"/>
    </row>
    <row r="608" ht="22.5" customHeight="1">
      <c r="A608" s="13"/>
      <c r="F608" s="6"/>
    </row>
    <row r="609" ht="22.5" customHeight="1">
      <c r="A609" s="13"/>
      <c r="F609" s="6"/>
    </row>
    <row r="610" ht="22.5" customHeight="1">
      <c r="A610" s="13"/>
      <c r="F610" s="6"/>
    </row>
    <row r="611" ht="22.5" customHeight="1">
      <c r="A611" s="13"/>
      <c r="F611" s="6"/>
    </row>
    <row r="612" ht="22.5" customHeight="1">
      <c r="A612" s="13"/>
      <c r="F612" s="6"/>
    </row>
    <row r="613" ht="22.5" customHeight="1">
      <c r="A613" s="13"/>
      <c r="F613" s="6"/>
    </row>
    <row r="614" ht="22.5" customHeight="1">
      <c r="A614" s="13"/>
      <c r="F614" s="6"/>
    </row>
    <row r="615" ht="22.5" customHeight="1">
      <c r="A615" s="13"/>
      <c r="F615" s="6"/>
    </row>
    <row r="616" ht="22.5" customHeight="1">
      <c r="A616" s="13"/>
      <c r="F616" s="6"/>
    </row>
    <row r="617" ht="22.5" customHeight="1">
      <c r="A617" s="13"/>
      <c r="F617" s="6"/>
    </row>
    <row r="618" ht="22.5" customHeight="1">
      <c r="A618" s="13"/>
      <c r="F618" s="6"/>
    </row>
    <row r="619" ht="22.5" customHeight="1">
      <c r="A619" s="13"/>
      <c r="F619" s="6"/>
    </row>
    <row r="620" ht="22.5" customHeight="1">
      <c r="A620" s="13"/>
      <c r="F620" s="6"/>
    </row>
    <row r="621" ht="22.5" customHeight="1">
      <c r="A621" s="13"/>
      <c r="F621" s="6"/>
    </row>
    <row r="622" ht="22.5" customHeight="1">
      <c r="A622" s="13"/>
      <c r="F622" s="6"/>
    </row>
    <row r="623" ht="22.5" customHeight="1">
      <c r="A623" s="13"/>
      <c r="F623" s="6"/>
    </row>
    <row r="624" ht="22.5" customHeight="1">
      <c r="A624" s="13"/>
      <c r="F624" s="6"/>
    </row>
    <row r="625" ht="22.5" customHeight="1">
      <c r="A625" s="13"/>
      <c r="F625" s="6"/>
    </row>
    <row r="626" ht="22.5" customHeight="1">
      <c r="A626" s="13"/>
      <c r="F626" s="6"/>
    </row>
    <row r="627" ht="22.5" customHeight="1">
      <c r="A627" s="13"/>
      <c r="F627" s="6"/>
    </row>
    <row r="628" ht="22.5" customHeight="1">
      <c r="A628" s="13"/>
      <c r="F628" s="6"/>
    </row>
    <row r="629" ht="22.5" customHeight="1">
      <c r="A629" s="13"/>
      <c r="F629" s="6"/>
    </row>
    <row r="630" ht="22.5" customHeight="1">
      <c r="A630" s="13"/>
      <c r="F630" s="6"/>
    </row>
    <row r="631" ht="22.5" customHeight="1">
      <c r="A631" s="13"/>
      <c r="F631" s="6"/>
    </row>
    <row r="632" ht="22.5" customHeight="1">
      <c r="A632" s="13"/>
      <c r="F632" s="6"/>
    </row>
    <row r="633" ht="22.5" customHeight="1">
      <c r="A633" s="13"/>
      <c r="F633" s="6"/>
    </row>
    <row r="634" ht="22.5" customHeight="1">
      <c r="A634" s="13"/>
      <c r="F634" s="6"/>
    </row>
    <row r="635" ht="22.5" customHeight="1">
      <c r="A635" s="13"/>
      <c r="F635" s="6"/>
    </row>
    <row r="636" ht="22.5" customHeight="1">
      <c r="A636" s="13"/>
      <c r="F636" s="6"/>
    </row>
    <row r="637" ht="22.5" customHeight="1">
      <c r="A637" s="13"/>
      <c r="F637" s="6"/>
    </row>
    <row r="638" ht="22.5" customHeight="1">
      <c r="A638" s="13"/>
      <c r="F638" s="6"/>
    </row>
    <row r="639" ht="22.5" customHeight="1">
      <c r="A639" s="13"/>
      <c r="F639" s="6"/>
    </row>
    <row r="640" ht="22.5" customHeight="1">
      <c r="A640" s="13"/>
      <c r="F640" s="6"/>
    </row>
    <row r="641" ht="22.5" customHeight="1">
      <c r="A641" s="13"/>
      <c r="F641" s="6"/>
    </row>
    <row r="642" ht="22.5" customHeight="1">
      <c r="A642" s="13"/>
      <c r="F642" s="6"/>
    </row>
    <row r="643" ht="22.5" customHeight="1">
      <c r="A643" s="13"/>
      <c r="F643" s="6"/>
    </row>
    <row r="644" ht="22.5" customHeight="1">
      <c r="A644" s="13"/>
      <c r="F644" s="6"/>
    </row>
    <row r="645" ht="22.5" customHeight="1">
      <c r="A645" s="13"/>
      <c r="F645" s="6"/>
    </row>
    <row r="646" ht="22.5" customHeight="1">
      <c r="A646" s="13"/>
      <c r="F646" s="6"/>
    </row>
    <row r="647" ht="22.5" customHeight="1">
      <c r="A647" s="13"/>
      <c r="F647" s="6"/>
    </row>
    <row r="648" ht="22.5" customHeight="1">
      <c r="A648" s="13"/>
      <c r="F648" s="6"/>
    </row>
    <row r="649" ht="22.5" customHeight="1">
      <c r="A649" s="13"/>
      <c r="F649" s="6"/>
    </row>
    <row r="650" ht="22.5" customHeight="1">
      <c r="A650" s="13"/>
      <c r="F650" s="6"/>
    </row>
    <row r="651" ht="22.5" customHeight="1">
      <c r="A651" s="13"/>
      <c r="F651" s="6"/>
    </row>
    <row r="652" ht="22.5" customHeight="1">
      <c r="A652" s="13"/>
      <c r="F652" s="6"/>
    </row>
    <row r="653" ht="22.5" customHeight="1">
      <c r="A653" s="13"/>
      <c r="F653" s="6"/>
    </row>
    <row r="654" ht="22.5" customHeight="1">
      <c r="A654" s="13"/>
      <c r="F654" s="6"/>
    </row>
    <row r="655" ht="22.5" customHeight="1">
      <c r="A655" s="13"/>
      <c r="F655" s="6"/>
    </row>
    <row r="656" ht="22.5" customHeight="1">
      <c r="A656" s="13"/>
      <c r="F656" s="6"/>
    </row>
    <row r="657" ht="22.5" customHeight="1">
      <c r="A657" s="13"/>
      <c r="F657" s="6"/>
    </row>
    <row r="658" ht="22.5" customHeight="1">
      <c r="A658" s="13"/>
      <c r="F658" s="6"/>
    </row>
    <row r="659" ht="22.5" customHeight="1">
      <c r="A659" s="13"/>
      <c r="F659" s="6"/>
    </row>
    <row r="660" ht="22.5" customHeight="1">
      <c r="A660" s="13"/>
      <c r="F660" s="6"/>
    </row>
    <row r="661" ht="22.5" customHeight="1">
      <c r="A661" s="13"/>
      <c r="F661" s="6"/>
    </row>
    <row r="662" ht="22.5" customHeight="1">
      <c r="A662" s="13"/>
      <c r="F662" s="6"/>
    </row>
    <row r="663" ht="22.5" customHeight="1">
      <c r="A663" s="13"/>
      <c r="F663" s="6"/>
    </row>
    <row r="664" ht="22.5" customHeight="1">
      <c r="A664" s="13"/>
      <c r="F664" s="6"/>
    </row>
    <row r="665" ht="22.5" customHeight="1">
      <c r="A665" s="13"/>
      <c r="F665" s="6"/>
    </row>
    <row r="666" ht="22.5" customHeight="1">
      <c r="A666" s="13"/>
      <c r="F666" s="6"/>
    </row>
    <row r="667" ht="22.5" customHeight="1">
      <c r="A667" s="13"/>
      <c r="F667" s="6"/>
    </row>
    <row r="668" ht="22.5" customHeight="1">
      <c r="A668" s="13"/>
      <c r="F668" s="6"/>
    </row>
    <row r="669" ht="22.5" customHeight="1">
      <c r="A669" s="13"/>
      <c r="F669" s="6"/>
    </row>
    <row r="670" ht="22.5" customHeight="1">
      <c r="A670" s="13"/>
      <c r="F670" s="6"/>
    </row>
    <row r="671" ht="22.5" customHeight="1">
      <c r="A671" s="13"/>
      <c r="F671" s="6"/>
    </row>
    <row r="672" ht="22.5" customHeight="1">
      <c r="A672" s="13"/>
      <c r="F672" s="6"/>
    </row>
    <row r="673" ht="22.5" customHeight="1">
      <c r="A673" s="13"/>
      <c r="F673" s="6"/>
    </row>
    <row r="674" ht="22.5" customHeight="1">
      <c r="A674" s="13"/>
      <c r="F674" s="6"/>
    </row>
    <row r="675" ht="22.5" customHeight="1">
      <c r="A675" s="13"/>
      <c r="F675" s="6"/>
    </row>
    <row r="676" ht="22.5" customHeight="1">
      <c r="A676" s="13"/>
      <c r="F676" s="6"/>
    </row>
    <row r="677" ht="22.5" customHeight="1">
      <c r="A677" s="13"/>
      <c r="F677" s="6"/>
    </row>
    <row r="678" ht="22.5" customHeight="1">
      <c r="A678" s="13"/>
      <c r="F678" s="6"/>
    </row>
    <row r="679" ht="22.5" customHeight="1">
      <c r="A679" s="13"/>
      <c r="F679" s="6"/>
    </row>
    <row r="680" ht="22.5" customHeight="1">
      <c r="A680" s="13"/>
      <c r="F680" s="6"/>
    </row>
    <row r="681" ht="22.5" customHeight="1">
      <c r="A681" s="13"/>
      <c r="F681" s="6"/>
    </row>
    <row r="682" ht="22.5" customHeight="1">
      <c r="A682" s="13"/>
      <c r="F682" s="6"/>
    </row>
    <row r="683" ht="22.5" customHeight="1">
      <c r="A683" s="13"/>
      <c r="F683" s="6"/>
    </row>
    <row r="684" ht="22.5" customHeight="1">
      <c r="A684" s="13"/>
      <c r="F684" s="6"/>
    </row>
    <row r="685" ht="22.5" customHeight="1">
      <c r="A685" s="13"/>
      <c r="F685" s="6"/>
    </row>
    <row r="686" ht="22.5" customHeight="1">
      <c r="A686" s="13"/>
      <c r="F686" s="6"/>
    </row>
    <row r="687" ht="22.5" customHeight="1">
      <c r="A687" s="13"/>
      <c r="F687" s="6"/>
    </row>
    <row r="688" ht="22.5" customHeight="1">
      <c r="A688" s="13"/>
      <c r="F688" s="6"/>
    </row>
    <row r="689" ht="22.5" customHeight="1">
      <c r="A689" s="13"/>
      <c r="F689" s="6"/>
    </row>
    <row r="690" ht="22.5" customHeight="1">
      <c r="A690" s="13"/>
      <c r="F690" s="6"/>
    </row>
    <row r="691" ht="22.5" customHeight="1">
      <c r="A691" s="13"/>
      <c r="F691" s="6"/>
    </row>
    <row r="692" ht="22.5" customHeight="1">
      <c r="A692" s="13"/>
      <c r="F692" s="6"/>
    </row>
    <row r="693" ht="22.5" customHeight="1">
      <c r="A693" s="13"/>
      <c r="F693" s="6"/>
    </row>
    <row r="694" ht="22.5" customHeight="1">
      <c r="A694" s="13"/>
      <c r="F694" s="6"/>
    </row>
    <row r="695" ht="22.5" customHeight="1">
      <c r="A695" s="13"/>
      <c r="F695" s="6"/>
    </row>
    <row r="696" ht="22.5" customHeight="1">
      <c r="A696" s="13"/>
      <c r="F696" s="6"/>
    </row>
    <row r="697" ht="22.5" customHeight="1">
      <c r="A697" s="13"/>
      <c r="F697" s="6"/>
    </row>
    <row r="698" ht="22.5" customHeight="1">
      <c r="A698" s="13"/>
      <c r="F698" s="6"/>
    </row>
    <row r="699" ht="22.5" customHeight="1">
      <c r="A699" s="13"/>
      <c r="F699" s="6"/>
    </row>
    <row r="700" ht="22.5" customHeight="1">
      <c r="A700" s="13"/>
      <c r="F700" s="6"/>
    </row>
    <row r="701" ht="22.5" customHeight="1">
      <c r="A701" s="13"/>
      <c r="F701" s="6"/>
    </row>
    <row r="702" ht="22.5" customHeight="1">
      <c r="A702" s="13"/>
      <c r="F702" s="6"/>
    </row>
    <row r="703" ht="22.5" customHeight="1">
      <c r="A703" s="13"/>
      <c r="F703" s="6"/>
    </row>
    <row r="704" ht="22.5" customHeight="1">
      <c r="A704" s="13"/>
      <c r="F704" s="6"/>
    </row>
    <row r="705" ht="22.5" customHeight="1">
      <c r="A705" s="13"/>
      <c r="F705" s="6"/>
    </row>
    <row r="706" ht="22.5" customHeight="1">
      <c r="A706" s="13"/>
      <c r="F706" s="6"/>
    </row>
    <row r="707" ht="22.5" customHeight="1">
      <c r="A707" s="13"/>
      <c r="F707" s="6"/>
    </row>
    <row r="708" ht="22.5" customHeight="1">
      <c r="A708" s="13"/>
      <c r="F708" s="6"/>
    </row>
    <row r="709" ht="22.5" customHeight="1">
      <c r="A709" s="13"/>
      <c r="F709" s="6"/>
    </row>
    <row r="710" ht="22.5" customHeight="1">
      <c r="A710" s="13"/>
      <c r="F710" s="6"/>
    </row>
    <row r="711" ht="22.5" customHeight="1">
      <c r="A711" s="13"/>
      <c r="F711" s="6"/>
    </row>
    <row r="712" ht="22.5" customHeight="1">
      <c r="A712" s="13"/>
      <c r="F712" s="6"/>
    </row>
    <row r="713" ht="22.5" customHeight="1">
      <c r="A713" s="13"/>
      <c r="F713" s="6"/>
    </row>
    <row r="714" ht="22.5" customHeight="1">
      <c r="A714" s="13"/>
      <c r="F714" s="6"/>
    </row>
    <row r="715" ht="22.5" customHeight="1">
      <c r="A715" s="13"/>
      <c r="F715" s="6"/>
    </row>
    <row r="716" ht="22.5" customHeight="1">
      <c r="A716" s="13"/>
      <c r="F716" s="6"/>
    </row>
    <row r="717" ht="22.5" customHeight="1">
      <c r="A717" s="13"/>
      <c r="F717" s="6"/>
    </row>
    <row r="718" ht="22.5" customHeight="1">
      <c r="A718" s="13"/>
      <c r="F718" s="6"/>
    </row>
    <row r="719" ht="22.5" customHeight="1">
      <c r="A719" s="13"/>
      <c r="F719" s="6"/>
    </row>
    <row r="720" ht="22.5" customHeight="1">
      <c r="A720" s="13"/>
      <c r="F720" s="6"/>
    </row>
    <row r="721" ht="22.5" customHeight="1">
      <c r="A721" s="13"/>
      <c r="F721" s="6"/>
    </row>
    <row r="722" ht="22.5" customHeight="1">
      <c r="A722" s="13"/>
      <c r="F722" s="6"/>
    </row>
    <row r="723" ht="22.5" customHeight="1">
      <c r="A723" s="13"/>
      <c r="F723" s="6"/>
    </row>
    <row r="724" ht="22.5" customHeight="1">
      <c r="A724" s="13"/>
      <c r="F724" s="6"/>
    </row>
    <row r="725" ht="22.5" customHeight="1">
      <c r="A725" s="13"/>
      <c r="F725" s="6"/>
    </row>
    <row r="726" ht="22.5" customHeight="1">
      <c r="A726" s="13"/>
      <c r="F726" s="6"/>
    </row>
    <row r="727" ht="22.5" customHeight="1">
      <c r="A727" s="13"/>
      <c r="F727" s="6"/>
    </row>
    <row r="728" ht="22.5" customHeight="1">
      <c r="A728" s="13"/>
      <c r="F728" s="6"/>
    </row>
    <row r="729" ht="22.5" customHeight="1">
      <c r="A729" s="13"/>
      <c r="F729" s="6"/>
    </row>
    <row r="730" ht="22.5" customHeight="1">
      <c r="A730" s="13"/>
      <c r="F730" s="6"/>
    </row>
    <row r="731" ht="22.5" customHeight="1">
      <c r="A731" s="13"/>
      <c r="F731" s="6"/>
    </row>
    <row r="732" ht="22.5" customHeight="1">
      <c r="A732" s="13"/>
      <c r="F732" s="6"/>
    </row>
    <row r="733" ht="22.5" customHeight="1">
      <c r="A733" s="13"/>
      <c r="F733" s="6"/>
    </row>
    <row r="734" ht="22.5" customHeight="1">
      <c r="A734" s="13"/>
      <c r="F734" s="6"/>
    </row>
    <row r="735" ht="22.5" customHeight="1">
      <c r="A735" s="13"/>
      <c r="F735" s="6"/>
    </row>
    <row r="736" ht="22.5" customHeight="1">
      <c r="A736" s="13"/>
      <c r="F736" s="6"/>
    </row>
    <row r="737" ht="22.5" customHeight="1">
      <c r="A737" s="13"/>
      <c r="F737" s="6"/>
    </row>
    <row r="738" ht="22.5" customHeight="1">
      <c r="A738" s="13"/>
      <c r="F738" s="6"/>
    </row>
    <row r="739" ht="22.5" customHeight="1">
      <c r="A739" s="13"/>
      <c r="F739" s="6"/>
    </row>
    <row r="740" ht="22.5" customHeight="1">
      <c r="A740" s="13"/>
      <c r="F740" s="6"/>
    </row>
    <row r="741" ht="22.5" customHeight="1">
      <c r="A741" s="13"/>
      <c r="F741" s="6"/>
    </row>
    <row r="742" ht="22.5" customHeight="1">
      <c r="A742" s="13"/>
      <c r="F742" s="6"/>
    </row>
    <row r="743" ht="22.5" customHeight="1">
      <c r="A743" s="13"/>
      <c r="F743" s="6"/>
    </row>
    <row r="744" ht="22.5" customHeight="1">
      <c r="A744" s="13"/>
      <c r="F744" s="6"/>
    </row>
    <row r="745" ht="22.5" customHeight="1">
      <c r="A745" s="13"/>
      <c r="F745" s="6"/>
    </row>
    <row r="746" ht="22.5" customHeight="1">
      <c r="A746" s="13"/>
      <c r="F746" s="6"/>
    </row>
    <row r="747" ht="22.5" customHeight="1">
      <c r="A747" s="13"/>
      <c r="F747" s="6"/>
    </row>
    <row r="748" ht="22.5" customHeight="1">
      <c r="A748" s="13"/>
      <c r="F748" s="6"/>
    </row>
    <row r="749" ht="22.5" customHeight="1">
      <c r="A749" s="13"/>
      <c r="F749" s="6"/>
    </row>
    <row r="750" ht="22.5" customHeight="1">
      <c r="A750" s="13"/>
      <c r="F750" s="6"/>
    </row>
    <row r="751" ht="22.5" customHeight="1">
      <c r="A751" s="13"/>
      <c r="F751" s="6"/>
    </row>
    <row r="752" ht="22.5" customHeight="1">
      <c r="A752" s="13"/>
      <c r="F752" s="6"/>
    </row>
    <row r="753" ht="22.5" customHeight="1">
      <c r="A753" s="13"/>
      <c r="F753" s="6"/>
    </row>
    <row r="754" ht="22.5" customHeight="1">
      <c r="A754" s="13"/>
      <c r="F754" s="6"/>
    </row>
    <row r="755" ht="22.5" customHeight="1">
      <c r="A755" s="13"/>
      <c r="F755" s="6"/>
    </row>
    <row r="756" ht="22.5" customHeight="1">
      <c r="A756" s="13"/>
      <c r="F756" s="6"/>
    </row>
    <row r="757" ht="22.5" customHeight="1">
      <c r="A757" s="13"/>
      <c r="F757" s="6"/>
    </row>
    <row r="758" ht="22.5" customHeight="1">
      <c r="A758" s="13"/>
      <c r="F758" s="6"/>
    </row>
    <row r="759" ht="22.5" customHeight="1">
      <c r="A759" s="13"/>
      <c r="F759" s="6"/>
    </row>
    <row r="760" ht="22.5" customHeight="1">
      <c r="A760" s="13"/>
      <c r="F760" s="6"/>
    </row>
    <row r="761" ht="22.5" customHeight="1">
      <c r="A761" s="13"/>
      <c r="F761" s="6"/>
    </row>
    <row r="762" ht="22.5" customHeight="1">
      <c r="A762" s="13"/>
      <c r="F762" s="6"/>
    </row>
    <row r="763" ht="22.5" customHeight="1">
      <c r="A763" s="13"/>
      <c r="F763" s="6"/>
    </row>
    <row r="764" ht="22.5" customHeight="1">
      <c r="A764" s="13"/>
      <c r="F764" s="6"/>
    </row>
    <row r="765" ht="22.5" customHeight="1">
      <c r="A765" s="13"/>
      <c r="F765" s="6"/>
    </row>
    <row r="766" ht="22.5" customHeight="1">
      <c r="A766" s="13"/>
      <c r="F766" s="6"/>
    </row>
    <row r="767" ht="22.5" customHeight="1">
      <c r="A767" s="13"/>
      <c r="F767" s="6"/>
    </row>
    <row r="768" ht="22.5" customHeight="1">
      <c r="A768" s="13"/>
      <c r="F768" s="6"/>
    </row>
    <row r="769" ht="22.5" customHeight="1">
      <c r="A769" s="13"/>
      <c r="F769" s="6"/>
    </row>
    <row r="770" ht="22.5" customHeight="1">
      <c r="A770" s="13"/>
      <c r="F770" s="6"/>
    </row>
    <row r="771" ht="22.5" customHeight="1">
      <c r="A771" s="13"/>
      <c r="F771" s="6"/>
    </row>
    <row r="772" ht="22.5" customHeight="1">
      <c r="A772" s="13"/>
      <c r="F772" s="6"/>
    </row>
    <row r="773" ht="22.5" customHeight="1">
      <c r="A773" s="13"/>
      <c r="F773" s="6"/>
    </row>
    <row r="774" ht="22.5" customHeight="1">
      <c r="A774" s="13"/>
      <c r="F774" s="6"/>
    </row>
    <row r="775" ht="22.5" customHeight="1">
      <c r="A775" s="13"/>
      <c r="F775" s="6"/>
    </row>
    <row r="776" ht="22.5" customHeight="1">
      <c r="A776" s="13"/>
      <c r="F776" s="6"/>
    </row>
    <row r="777" ht="22.5" customHeight="1">
      <c r="A777" s="13"/>
      <c r="F777" s="6"/>
    </row>
    <row r="778" ht="22.5" customHeight="1">
      <c r="A778" s="13"/>
      <c r="F778" s="6"/>
    </row>
    <row r="779" ht="22.5" customHeight="1">
      <c r="A779" s="13"/>
      <c r="F779" s="6"/>
    </row>
    <row r="780" ht="22.5" customHeight="1">
      <c r="A780" s="13"/>
      <c r="F780" s="6"/>
    </row>
    <row r="781" ht="22.5" customHeight="1">
      <c r="A781" s="13"/>
      <c r="F781" s="6"/>
    </row>
    <row r="782" ht="22.5" customHeight="1">
      <c r="A782" s="13"/>
      <c r="F782" s="6"/>
    </row>
    <row r="783" ht="22.5" customHeight="1">
      <c r="A783" s="13"/>
      <c r="F783" s="6"/>
    </row>
    <row r="784" ht="22.5" customHeight="1">
      <c r="A784" s="13"/>
      <c r="F784" s="6"/>
    </row>
    <row r="785" ht="22.5" customHeight="1">
      <c r="A785" s="13"/>
      <c r="F785" s="6"/>
    </row>
    <row r="786" ht="22.5" customHeight="1">
      <c r="A786" s="13"/>
      <c r="F786" s="6"/>
    </row>
    <row r="787" ht="22.5" customHeight="1">
      <c r="A787" s="13"/>
      <c r="F787" s="6"/>
    </row>
    <row r="788" ht="22.5" customHeight="1">
      <c r="A788" s="13"/>
      <c r="F788" s="6"/>
    </row>
    <row r="789" ht="22.5" customHeight="1">
      <c r="A789" s="13"/>
      <c r="F789" s="6"/>
    </row>
    <row r="790" ht="22.5" customHeight="1">
      <c r="A790" s="13"/>
      <c r="F790" s="6"/>
    </row>
    <row r="791" ht="22.5" customHeight="1">
      <c r="A791" s="13"/>
      <c r="F791" s="6"/>
    </row>
    <row r="792" ht="22.5" customHeight="1">
      <c r="A792" s="13"/>
      <c r="F792" s="6"/>
    </row>
    <row r="793" ht="22.5" customHeight="1">
      <c r="A793" s="13"/>
      <c r="F793" s="6"/>
    </row>
    <row r="794" ht="22.5" customHeight="1">
      <c r="A794" s="13"/>
      <c r="F794" s="6"/>
    </row>
    <row r="795" ht="22.5" customHeight="1">
      <c r="A795" s="13"/>
      <c r="F795" s="6"/>
    </row>
    <row r="796" ht="22.5" customHeight="1">
      <c r="A796" s="13"/>
      <c r="F796" s="6"/>
    </row>
    <row r="797" ht="22.5" customHeight="1">
      <c r="A797" s="13"/>
      <c r="F797" s="6"/>
    </row>
    <row r="798" ht="22.5" customHeight="1">
      <c r="A798" s="13"/>
      <c r="F798" s="6"/>
    </row>
    <row r="799" ht="22.5" customHeight="1">
      <c r="A799" s="13"/>
      <c r="F799" s="6"/>
    </row>
    <row r="800" ht="22.5" customHeight="1">
      <c r="A800" s="13"/>
      <c r="F800" s="6"/>
    </row>
    <row r="801" ht="22.5" customHeight="1">
      <c r="A801" s="13"/>
      <c r="F801" s="6"/>
    </row>
    <row r="802" ht="22.5" customHeight="1">
      <c r="A802" s="13"/>
      <c r="F802" s="6"/>
    </row>
    <row r="803" ht="22.5" customHeight="1">
      <c r="A803" s="13"/>
      <c r="F803" s="6"/>
    </row>
    <row r="804" ht="22.5" customHeight="1">
      <c r="A804" s="13"/>
      <c r="F804" s="6"/>
    </row>
    <row r="805" ht="22.5" customHeight="1">
      <c r="A805" s="13"/>
      <c r="F805" s="6"/>
    </row>
    <row r="806" ht="22.5" customHeight="1">
      <c r="A806" s="13"/>
      <c r="F806" s="6"/>
    </row>
    <row r="807" ht="22.5" customHeight="1">
      <c r="A807" s="13"/>
      <c r="F807" s="6"/>
    </row>
    <row r="808" ht="22.5" customHeight="1">
      <c r="A808" s="13"/>
      <c r="F808" s="6"/>
    </row>
    <row r="809" ht="22.5" customHeight="1">
      <c r="A809" s="13"/>
      <c r="F809" s="6"/>
    </row>
    <row r="810" ht="22.5" customHeight="1">
      <c r="A810" s="13"/>
      <c r="F810" s="6"/>
    </row>
    <row r="811" ht="22.5" customHeight="1">
      <c r="A811" s="13"/>
      <c r="F811" s="6"/>
    </row>
    <row r="812" ht="22.5" customHeight="1">
      <c r="A812" s="13"/>
      <c r="F812" s="6"/>
    </row>
    <row r="813" ht="22.5" customHeight="1">
      <c r="A813" s="13"/>
      <c r="F813" s="6"/>
    </row>
    <row r="814" ht="22.5" customHeight="1">
      <c r="A814" s="13"/>
      <c r="F814" s="6"/>
    </row>
    <row r="815" ht="22.5" customHeight="1">
      <c r="A815" s="13"/>
      <c r="F815" s="6"/>
    </row>
    <row r="816" ht="22.5" customHeight="1">
      <c r="A816" s="13"/>
      <c r="F816" s="6"/>
    </row>
    <row r="817" ht="22.5" customHeight="1">
      <c r="A817" s="13"/>
      <c r="F817" s="6"/>
    </row>
    <row r="818" ht="22.5" customHeight="1">
      <c r="A818" s="13"/>
      <c r="F818" s="6"/>
    </row>
    <row r="819" ht="22.5" customHeight="1">
      <c r="A819" s="13"/>
      <c r="F819" s="6"/>
    </row>
    <row r="820" ht="22.5" customHeight="1">
      <c r="A820" s="13"/>
      <c r="F820" s="6"/>
    </row>
    <row r="821" ht="22.5" customHeight="1">
      <c r="A821" s="13"/>
      <c r="F821" s="6"/>
    </row>
    <row r="822" ht="22.5" customHeight="1">
      <c r="A822" s="13"/>
      <c r="F822" s="6"/>
    </row>
    <row r="823" ht="22.5" customHeight="1">
      <c r="A823" s="13"/>
      <c r="F823" s="6"/>
    </row>
    <row r="824" ht="22.5" customHeight="1">
      <c r="A824" s="13"/>
      <c r="F824" s="6"/>
    </row>
    <row r="825" ht="22.5" customHeight="1">
      <c r="A825" s="13"/>
      <c r="F825" s="6"/>
    </row>
    <row r="826" ht="22.5" customHeight="1">
      <c r="A826" s="13"/>
      <c r="F826" s="6"/>
    </row>
    <row r="827" ht="22.5" customHeight="1">
      <c r="A827" s="13"/>
      <c r="F827" s="6"/>
    </row>
    <row r="828" ht="22.5" customHeight="1">
      <c r="A828" s="13"/>
      <c r="F828" s="6"/>
    </row>
    <row r="829" ht="22.5" customHeight="1">
      <c r="A829" s="13"/>
      <c r="F829" s="6"/>
    </row>
    <row r="830" ht="22.5" customHeight="1">
      <c r="A830" s="13"/>
      <c r="F830" s="6"/>
    </row>
    <row r="831" ht="22.5" customHeight="1">
      <c r="A831" s="13"/>
      <c r="F831" s="6"/>
    </row>
    <row r="832" ht="22.5" customHeight="1">
      <c r="A832" s="13"/>
      <c r="F832" s="6"/>
    </row>
    <row r="833" ht="22.5" customHeight="1">
      <c r="A833" s="13"/>
      <c r="F833" s="6"/>
    </row>
    <row r="834" ht="22.5" customHeight="1">
      <c r="A834" s="13"/>
      <c r="F834" s="6"/>
    </row>
    <row r="835" ht="22.5" customHeight="1">
      <c r="A835" s="13"/>
      <c r="F835" s="6"/>
    </row>
    <row r="836" ht="22.5" customHeight="1">
      <c r="A836" s="13"/>
      <c r="F836" s="6"/>
    </row>
    <row r="837" ht="22.5" customHeight="1">
      <c r="A837" s="13"/>
      <c r="F837" s="6"/>
    </row>
    <row r="838" ht="22.5" customHeight="1">
      <c r="A838" s="13"/>
      <c r="F838" s="6"/>
    </row>
    <row r="839" ht="22.5" customHeight="1">
      <c r="A839" s="13"/>
      <c r="F839" s="6"/>
    </row>
    <row r="840" ht="22.5" customHeight="1">
      <c r="A840" s="13"/>
      <c r="F840" s="6"/>
    </row>
    <row r="841" ht="22.5" customHeight="1">
      <c r="A841" s="13"/>
      <c r="F841" s="6"/>
    </row>
    <row r="842" ht="22.5" customHeight="1">
      <c r="A842" s="13"/>
      <c r="F842" s="6"/>
    </row>
    <row r="843" ht="22.5" customHeight="1">
      <c r="A843" s="13"/>
      <c r="F843" s="6"/>
    </row>
    <row r="844" ht="22.5" customHeight="1">
      <c r="A844" s="13"/>
      <c r="F844" s="6"/>
    </row>
    <row r="845" ht="22.5" customHeight="1">
      <c r="A845" s="13"/>
      <c r="F845" s="6"/>
    </row>
    <row r="846" ht="22.5" customHeight="1">
      <c r="A846" s="13"/>
      <c r="F846" s="6"/>
    </row>
    <row r="847" ht="22.5" customHeight="1">
      <c r="A847" s="13"/>
      <c r="F847" s="6"/>
    </row>
    <row r="848" ht="22.5" customHeight="1">
      <c r="A848" s="13"/>
      <c r="F848" s="6"/>
    </row>
    <row r="849" ht="22.5" customHeight="1">
      <c r="A849" s="13"/>
      <c r="F849" s="6"/>
    </row>
    <row r="850" ht="22.5" customHeight="1">
      <c r="A850" s="13"/>
      <c r="F850" s="6"/>
    </row>
    <row r="851" ht="22.5" customHeight="1">
      <c r="A851" s="13"/>
      <c r="F851" s="6"/>
    </row>
    <row r="852" ht="22.5" customHeight="1">
      <c r="A852" s="13"/>
      <c r="F852" s="6"/>
    </row>
    <row r="853" ht="22.5" customHeight="1">
      <c r="A853" s="13"/>
      <c r="F853" s="6"/>
    </row>
    <row r="854" ht="22.5" customHeight="1">
      <c r="A854" s="13"/>
      <c r="F854" s="6"/>
    </row>
    <row r="855" ht="22.5" customHeight="1">
      <c r="A855" s="13"/>
      <c r="F855" s="6"/>
    </row>
    <row r="856" ht="22.5" customHeight="1">
      <c r="A856" s="13"/>
      <c r="F856" s="6"/>
    </row>
    <row r="857" ht="22.5" customHeight="1">
      <c r="A857" s="13"/>
      <c r="F857" s="6"/>
    </row>
    <row r="858" ht="22.5" customHeight="1">
      <c r="A858" s="13"/>
      <c r="F858" s="6"/>
    </row>
    <row r="859" ht="22.5" customHeight="1">
      <c r="A859" s="13"/>
      <c r="F859" s="6"/>
    </row>
    <row r="860" ht="22.5" customHeight="1">
      <c r="A860" s="13"/>
      <c r="F860" s="6"/>
    </row>
    <row r="861" ht="22.5" customHeight="1">
      <c r="A861" s="13"/>
      <c r="F861" s="6"/>
    </row>
    <row r="862" ht="22.5" customHeight="1">
      <c r="A862" s="13"/>
      <c r="F862" s="6"/>
    </row>
    <row r="863" ht="22.5" customHeight="1">
      <c r="A863" s="13"/>
      <c r="F863" s="6"/>
    </row>
    <row r="864" ht="22.5" customHeight="1">
      <c r="A864" s="13"/>
      <c r="F864" s="6"/>
    </row>
    <row r="865" ht="22.5" customHeight="1">
      <c r="A865" s="13"/>
      <c r="F865" s="6"/>
    </row>
    <row r="866" ht="22.5" customHeight="1">
      <c r="A866" s="13"/>
      <c r="F866" s="6"/>
    </row>
    <row r="867" ht="22.5" customHeight="1">
      <c r="A867" s="13"/>
      <c r="F867" s="6"/>
    </row>
    <row r="868" ht="22.5" customHeight="1">
      <c r="A868" s="13"/>
      <c r="F868" s="6"/>
    </row>
    <row r="869" ht="22.5" customHeight="1">
      <c r="A869" s="13"/>
      <c r="F869" s="6"/>
    </row>
    <row r="870" ht="22.5" customHeight="1">
      <c r="A870" s="13"/>
      <c r="F870" s="6"/>
    </row>
    <row r="871" ht="22.5" customHeight="1">
      <c r="A871" s="13"/>
      <c r="F871" s="6"/>
    </row>
    <row r="872" ht="22.5" customHeight="1">
      <c r="A872" s="13"/>
      <c r="F872" s="6"/>
    </row>
    <row r="873" ht="22.5" customHeight="1">
      <c r="A873" s="13"/>
      <c r="F873" s="6"/>
    </row>
    <row r="874" ht="22.5" customHeight="1">
      <c r="A874" s="13"/>
      <c r="F874" s="6"/>
    </row>
    <row r="875" ht="22.5" customHeight="1">
      <c r="A875" s="13"/>
      <c r="F875" s="6"/>
    </row>
    <row r="876" ht="22.5" customHeight="1">
      <c r="A876" s="13"/>
      <c r="F876" s="6"/>
    </row>
    <row r="877" ht="22.5" customHeight="1">
      <c r="A877" s="13"/>
      <c r="F877" s="6"/>
    </row>
    <row r="878" ht="22.5" customHeight="1">
      <c r="A878" s="13"/>
      <c r="F878" s="6"/>
    </row>
    <row r="879" ht="22.5" customHeight="1">
      <c r="A879" s="13"/>
      <c r="F879" s="6"/>
    </row>
    <row r="880" ht="22.5" customHeight="1">
      <c r="A880" s="13"/>
      <c r="F880" s="6"/>
    </row>
    <row r="881" ht="22.5" customHeight="1">
      <c r="A881" s="13"/>
      <c r="F881" s="6"/>
    </row>
    <row r="882" ht="22.5" customHeight="1">
      <c r="A882" s="13"/>
      <c r="F882" s="6"/>
    </row>
    <row r="883" ht="22.5" customHeight="1">
      <c r="A883" s="13"/>
      <c r="F883" s="6"/>
    </row>
    <row r="884" ht="22.5" customHeight="1">
      <c r="A884" s="13"/>
      <c r="F884" s="6"/>
    </row>
    <row r="885" ht="22.5" customHeight="1">
      <c r="A885" s="13"/>
      <c r="F885" s="6"/>
    </row>
    <row r="886" ht="22.5" customHeight="1">
      <c r="A886" s="13"/>
      <c r="F886" s="6"/>
    </row>
    <row r="887" ht="22.5" customHeight="1">
      <c r="A887" s="13"/>
      <c r="F887" s="6"/>
    </row>
    <row r="888" ht="22.5" customHeight="1">
      <c r="A888" s="13"/>
      <c r="F888" s="6"/>
    </row>
    <row r="889" ht="22.5" customHeight="1">
      <c r="A889" s="13"/>
      <c r="F889" s="6"/>
    </row>
    <row r="890" ht="22.5" customHeight="1">
      <c r="A890" s="13"/>
      <c r="F890" s="6"/>
    </row>
    <row r="891" ht="22.5" customHeight="1">
      <c r="A891" s="13"/>
      <c r="F891" s="6"/>
    </row>
    <row r="892" ht="22.5" customHeight="1">
      <c r="A892" s="13"/>
      <c r="F892" s="6"/>
    </row>
    <row r="893" ht="22.5" customHeight="1">
      <c r="A893" s="13"/>
      <c r="F893" s="6"/>
    </row>
    <row r="894" ht="22.5" customHeight="1">
      <c r="A894" s="13"/>
      <c r="F894" s="6"/>
    </row>
    <row r="895" ht="22.5" customHeight="1">
      <c r="A895" s="13"/>
      <c r="F895" s="6"/>
    </row>
    <row r="896" ht="22.5" customHeight="1">
      <c r="A896" s="13"/>
      <c r="F896" s="6"/>
    </row>
    <row r="897" ht="22.5" customHeight="1">
      <c r="A897" s="13"/>
      <c r="F897" s="6"/>
    </row>
    <row r="898" ht="22.5" customHeight="1">
      <c r="A898" s="13"/>
      <c r="F898" s="6"/>
    </row>
    <row r="899" ht="22.5" customHeight="1">
      <c r="A899" s="13"/>
      <c r="F899" s="6"/>
    </row>
    <row r="900" ht="22.5" customHeight="1">
      <c r="A900" s="13"/>
      <c r="F900" s="6"/>
    </row>
    <row r="901" ht="22.5" customHeight="1">
      <c r="A901" s="13"/>
      <c r="F901" s="6"/>
    </row>
    <row r="902" ht="22.5" customHeight="1">
      <c r="A902" s="13"/>
      <c r="F902" s="6"/>
    </row>
    <row r="903" ht="22.5" customHeight="1">
      <c r="A903" s="13"/>
      <c r="F903" s="6"/>
    </row>
    <row r="904" ht="22.5" customHeight="1">
      <c r="A904" s="13"/>
      <c r="F904" s="6"/>
    </row>
    <row r="905" ht="22.5" customHeight="1">
      <c r="A905" s="13"/>
      <c r="F905" s="6"/>
    </row>
    <row r="906" ht="22.5" customHeight="1">
      <c r="A906" s="13"/>
      <c r="F906" s="6"/>
    </row>
    <row r="907" ht="22.5" customHeight="1">
      <c r="A907" s="13"/>
      <c r="F907" s="6"/>
    </row>
    <row r="908" ht="22.5" customHeight="1">
      <c r="A908" s="13"/>
      <c r="F908" s="6"/>
    </row>
    <row r="909" ht="22.5" customHeight="1">
      <c r="A909" s="13"/>
      <c r="F909" s="6"/>
    </row>
    <row r="910" ht="22.5" customHeight="1">
      <c r="A910" s="13"/>
      <c r="F910" s="6"/>
    </row>
    <row r="911" ht="22.5" customHeight="1">
      <c r="A911" s="13"/>
      <c r="F911" s="6"/>
    </row>
    <row r="912" ht="22.5" customHeight="1">
      <c r="A912" s="13"/>
      <c r="F912" s="6"/>
    </row>
    <row r="913" ht="22.5" customHeight="1">
      <c r="A913" s="13"/>
      <c r="F913" s="6"/>
    </row>
    <row r="914" ht="22.5" customHeight="1">
      <c r="A914" s="13"/>
      <c r="F914" s="6"/>
    </row>
    <row r="915" ht="22.5" customHeight="1">
      <c r="A915" s="13"/>
      <c r="F915" s="6"/>
    </row>
    <row r="916" ht="22.5" customHeight="1">
      <c r="A916" s="13"/>
      <c r="F916" s="6"/>
    </row>
    <row r="917" ht="22.5" customHeight="1">
      <c r="A917" s="13"/>
      <c r="F917" s="6"/>
    </row>
    <row r="918" ht="22.5" customHeight="1">
      <c r="A918" s="13"/>
      <c r="F918" s="6"/>
    </row>
    <row r="919" ht="22.5" customHeight="1">
      <c r="A919" s="13"/>
      <c r="F919" s="6"/>
    </row>
    <row r="920" ht="22.5" customHeight="1">
      <c r="A920" s="13"/>
      <c r="F920" s="6"/>
    </row>
    <row r="921" ht="22.5" customHeight="1">
      <c r="A921" s="13"/>
      <c r="F921" s="6"/>
    </row>
    <row r="922" ht="22.5" customHeight="1">
      <c r="A922" s="13"/>
      <c r="F922" s="6"/>
    </row>
    <row r="923" ht="22.5" customHeight="1">
      <c r="A923" s="13"/>
      <c r="F923" s="6"/>
    </row>
    <row r="924" ht="22.5" customHeight="1">
      <c r="A924" s="13"/>
      <c r="F924" s="6"/>
    </row>
    <row r="925" ht="22.5" customHeight="1">
      <c r="A925" s="13"/>
      <c r="F925" s="6"/>
    </row>
    <row r="926" ht="22.5" customHeight="1">
      <c r="A926" s="13"/>
      <c r="F926" s="6"/>
    </row>
    <row r="927" ht="22.5" customHeight="1">
      <c r="A927" s="13"/>
      <c r="F927" s="6"/>
    </row>
    <row r="928" ht="22.5" customHeight="1">
      <c r="A928" s="13"/>
      <c r="F928" s="6"/>
    </row>
    <row r="929" ht="22.5" customHeight="1">
      <c r="A929" s="13"/>
      <c r="F929" s="6"/>
    </row>
    <row r="930" ht="22.5" customHeight="1">
      <c r="A930" s="13"/>
      <c r="F930" s="6"/>
    </row>
    <row r="931" ht="22.5" customHeight="1">
      <c r="A931" s="13"/>
      <c r="F931" s="6"/>
    </row>
    <row r="932" ht="22.5" customHeight="1">
      <c r="A932" s="13"/>
      <c r="F932" s="6"/>
    </row>
    <row r="933" ht="22.5" customHeight="1">
      <c r="A933" s="13"/>
      <c r="F933" s="6"/>
    </row>
    <row r="934" ht="22.5" customHeight="1">
      <c r="A934" s="13"/>
      <c r="F934" s="6"/>
    </row>
    <row r="935" ht="22.5" customHeight="1">
      <c r="A935" s="13"/>
      <c r="F935" s="6"/>
    </row>
    <row r="936" ht="22.5" customHeight="1">
      <c r="A936" s="13"/>
      <c r="F936" s="6"/>
    </row>
    <row r="937" ht="22.5" customHeight="1">
      <c r="A937" s="13"/>
      <c r="F937" s="6"/>
    </row>
    <row r="938" ht="22.5" customHeight="1">
      <c r="A938" s="13"/>
      <c r="F938" s="6"/>
    </row>
    <row r="939" ht="22.5" customHeight="1">
      <c r="A939" s="13"/>
      <c r="F939" s="6"/>
    </row>
    <row r="940" ht="22.5" customHeight="1">
      <c r="A940" s="13"/>
      <c r="F940" s="6"/>
    </row>
    <row r="941" ht="22.5" customHeight="1">
      <c r="A941" s="13"/>
      <c r="F941" s="6"/>
    </row>
    <row r="942" ht="22.5" customHeight="1">
      <c r="A942" s="13"/>
      <c r="F942" s="6"/>
    </row>
    <row r="943" ht="22.5" customHeight="1">
      <c r="A943" s="13"/>
      <c r="F943" s="6"/>
    </row>
    <row r="944" ht="22.5" customHeight="1">
      <c r="A944" s="13"/>
      <c r="F944" s="6"/>
    </row>
    <row r="945" ht="22.5" customHeight="1">
      <c r="A945" s="13"/>
      <c r="F945" s="6"/>
    </row>
    <row r="946" ht="22.5" customHeight="1">
      <c r="A946" s="13"/>
      <c r="F946" s="6"/>
    </row>
    <row r="947" ht="22.5" customHeight="1">
      <c r="A947" s="13"/>
      <c r="F947" s="6"/>
    </row>
    <row r="948" ht="22.5" customHeight="1">
      <c r="A948" s="13"/>
      <c r="F948" s="6"/>
    </row>
    <row r="949" ht="22.5" customHeight="1">
      <c r="A949" s="13"/>
      <c r="F949" s="6"/>
    </row>
    <row r="950" ht="22.5" customHeight="1">
      <c r="A950" s="13"/>
      <c r="F950" s="6"/>
    </row>
    <row r="951" ht="22.5" customHeight="1">
      <c r="A951" s="13"/>
      <c r="F951" s="6"/>
    </row>
    <row r="952" ht="22.5" customHeight="1">
      <c r="A952" s="13"/>
      <c r="F952" s="6"/>
    </row>
    <row r="953" ht="22.5" customHeight="1">
      <c r="A953" s="13"/>
      <c r="F953" s="6"/>
    </row>
    <row r="954" ht="22.5" customHeight="1">
      <c r="A954" s="13"/>
      <c r="F954" s="6"/>
    </row>
    <row r="955" ht="22.5" customHeight="1">
      <c r="A955" s="13"/>
      <c r="F955" s="6"/>
    </row>
    <row r="956" ht="22.5" customHeight="1">
      <c r="A956" s="13"/>
      <c r="F956" s="6"/>
    </row>
    <row r="957" ht="22.5" customHeight="1">
      <c r="A957" s="13"/>
      <c r="F957" s="6"/>
    </row>
    <row r="958" ht="22.5" customHeight="1">
      <c r="A958" s="13"/>
      <c r="F958" s="6"/>
    </row>
    <row r="959" ht="22.5" customHeight="1">
      <c r="A959" s="13"/>
      <c r="F959" s="6"/>
    </row>
    <row r="960" ht="22.5" customHeight="1">
      <c r="A960" s="13"/>
      <c r="F960" s="6"/>
    </row>
    <row r="961" ht="22.5" customHeight="1">
      <c r="A961" s="13"/>
      <c r="F961" s="6"/>
    </row>
    <row r="962" ht="22.5" customHeight="1">
      <c r="A962" s="13"/>
      <c r="F962" s="6"/>
    </row>
    <row r="963" ht="22.5" customHeight="1">
      <c r="A963" s="13"/>
      <c r="F963" s="6"/>
    </row>
    <row r="964" ht="22.5" customHeight="1">
      <c r="A964" s="13"/>
      <c r="F964" s="6"/>
    </row>
    <row r="965" ht="22.5" customHeight="1">
      <c r="A965" s="13"/>
      <c r="F965" s="6"/>
    </row>
    <row r="966" ht="22.5" customHeight="1">
      <c r="A966" s="13"/>
      <c r="F966" s="6"/>
    </row>
    <row r="967" ht="22.5" customHeight="1">
      <c r="A967" s="13"/>
      <c r="F967" s="6"/>
    </row>
    <row r="968" ht="22.5" customHeight="1">
      <c r="A968" s="13"/>
      <c r="F968" s="6"/>
    </row>
    <row r="969" ht="22.5" customHeight="1">
      <c r="A969" s="13"/>
      <c r="F969" s="6"/>
    </row>
    <row r="970" ht="22.5" customHeight="1">
      <c r="A970" s="13"/>
      <c r="F970" s="6"/>
    </row>
    <row r="971" ht="22.5" customHeight="1">
      <c r="A971" s="13"/>
      <c r="F971" s="6"/>
    </row>
    <row r="972" ht="22.5" customHeight="1">
      <c r="A972" s="13"/>
      <c r="F972" s="6"/>
    </row>
    <row r="973" ht="22.5" customHeight="1">
      <c r="A973" s="13"/>
      <c r="F973" s="6"/>
    </row>
    <row r="974" ht="22.5" customHeight="1">
      <c r="A974" s="13"/>
      <c r="F974" s="6"/>
    </row>
    <row r="975" ht="22.5" customHeight="1">
      <c r="A975" s="13"/>
      <c r="F975" s="6"/>
    </row>
    <row r="976" ht="22.5" customHeight="1">
      <c r="A976" s="13"/>
      <c r="F976" s="6"/>
    </row>
    <row r="977" ht="22.5" customHeight="1">
      <c r="A977" s="13"/>
      <c r="F977" s="6"/>
    </row>
    <row r="978" ht="22.5" customHeight="1">
      <c r="A978" s="13"/>
      <c r="F978" s="6"/>
    </row>
    <row r="979" ht="22.5" customHeight="1">
      <c r="A979" s="13"/>
      <c r="F979" s="6"/>
    </row>
    <row r="980" ht="22.5" customHeight="1">
      <c r="A980" s="13"/>
      <c r="F980" s="6"/>
    </row>
    <row r="981" ht="22.5" customHeight="1">
      <c r="A981" s="13"/>
      <c r="F981" s="6"/>
    </row>
    <row r="982" ht="22.5" customHeight="1">
      <c r="A982" s="13"/>
      <c r="F982" s="6"/>
    </row>
    <row r="983" ht="22.5" customHeight="1">
      <c r="A983" s="13"/>
      <c r="F983" s="6"/>
    </row>
    <row r="984" ht="22.5" customHeight="1">
      <c r="A984" s="13"/>
      <c r="F984" s="6"/>
    </row>
    <row r="985" ht="22.5" customHeight="1">
      <c r="A985" s="13"/>
      <c r="F985" s="6"/>
    </row>
    <row r="986" ht="22.5" customHeight="1">
      <c r="A986" s="13"/>
      <c r="F986" s="6"/>
    </row>
    <row r="987" ht="22.5" customHeight="1">
      <c r="A987" s="13"/>
      <c r="F987" s="6"/>
    </row>
    <row r="988" ht="22.5" customHeight="1">
      <c r="A988" s="13"/>
      <c r="F988" s="6"/>
    </row>
    <row r="989" ht="22.5" customHeight="1">
      <c r="A989" s="13"/>
      <c r="F989" s="6"/>
    </row>
    <row r="990" ht="22.5" customHeight="1">
      <c r="A990" s="13"/>
      <c r="F990" s="6"/>
    </row>
    <row r="991" ht="22.5" customHeight="1">
      <c r="A991" s="13"/>
      <c r="F991" s="6"/>
    </row>
    <row r="992" ht="22.5" customHeight="1">
      <c r="A992" s="13"/>
      <c r="F992" s="6"/>
    </row>
    <row r="993" ht="22.5" customHeight="1">
      <c r="A993" s="13"/>
      <c r="F993" s="6"/>
    </row>
    <row r="994" ht="22.5" customHeight="1">
      <c r="A994" s="13"/>
      <c r="F994" s="6"/>
    </row>
    <row r="995" ht="22.5" customHeight="1">
      <c r="A995" s="13"/>
      <c r="F995" s="6"/>
    </row>
    <row r="996" ht="22.5" customHeight="1">
      <c r="A996" s="13"/>
      <c r="F996" s="6"/>
    </row>
    <row r="997" ht="22.5" customHeight="1">
      <c r="A997" s="13"/>
      <c r="F997" s="6"/>
    </row>
    <row r="998" ht="22.5" customHeight="1">
      <c r="A998" s="13"/>
      <c r="F998" s="6"/>
    </row>
    <row r="999" ht="22.5" customHeight="1">
      <c r="A999" s="13"/>
      <c r="F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0"/>
    <col customWidth="1" min="2" max="2" width="20.0"/>
    <col customWidth="1" min="3" max="3" width="12.75"/>
    <col customWidth="1" min="4" max="27" width="10.38"/>
  </cols>
  <sheetData>
    <row r="1" ht="24.75" customHeight="1">
      <c r="A1" s="3"/>
      <c r="B1" s="3" t="s">
        <v>12</v>
      </c>
      <c r="C1" s="2">
        <v>1000000.0</v>
      </c>
    </row>
    <row r="2" ht="24.75" customHeight="1">
      <c r="A2" s="3"/>
      <c r="B2" s="3" t="s">
        <v>13</v>
      </c>
      <c r="C2" s="2">
        <v>1.0</v>
      </c>
    </row>
    <row r="3" ht="24.75" customHeight="1">
      <c r="A3" s="3"/>
      <c r="B3" s="3" t="s">
        <v>14</v>
      </c>
      <c r="C3" s="14">
        <f>'返済表'!E2</f>
        <v>2980576.781</v>
      </c>
      <c r="D3" s="3" t="s">
        <v>15</v>
      </c>
    </row>
    <row r="4" ht="24.75" customHeight="1">
      <c r="A4" s="3"/>
      <c r="B4" s="3" t="s">
        <v>16</v>
      </c>
      <c r="C4" s="15">
        <v>0.7</v>
      </c>
    </row>
    <row r="5" ht="24.75" customHeight="1">
      <c r="A5" s="3"/>
      <c r="B5" s="3" t="s">
        <v>17</v>
      </c>
      <c r="C5" s="6">
        <f>'条件'!B5*'条件'!B3</f>
        <v>3800786.237</v>
      </c>
    </row>
    <row r="6" ht="24.75" customHeight="1">
      <c r="A6" s="3">
        <f>C2</f>
        <v>1</v>
      </c>
      <c r="B6" s="3" t="s">
        <v>18</v>
      </c>
      <c r="C6" s="6">
        <f>'条件'!B5*C2</f>
        <v>31673.21864</v>
      </c>
    </row>
    <row r="7" ht="24.75" customHeight="1">
      <c r="A7" s="3">
        <f>C2/12</f>
        <v>0.08333333333</v>
      </c>
      <c r="B7" s="3" t="s">
        <v>19</v>
      </c>
      <c r="C7" s="6">
        <f>C6+C3</f>
        <v>3012250</v>
      </c>
    </row>
    <row r="8" ht="24.75" customHeight="1">
      <c r="A8" s="3"/>
      <c r="B8" s="3" t="s">
        <v>20</v>
      </c>
      <c r="C8" s="6">
        <f>C5-C7</f>
        <v>788536.237</v>
      </c>
    </row>
    <row r="9" ht="24.75" customHeight="1">
      <c r="B9" s="3" t="s">
        <v>21</v>
      </c>
      <c r="C9" s="6">
        <f>C8*C4</f>
        <v>551975.3659</v>
      </c>
    </row>
    <row r="10" ht="24.75" customHeight="1">
      <c r="B10" s="3"/>
    </row>
    <row r="11" ht="24.75" customHeight="1">
      <c r="B11" s="3" t="s">
        <v>22</v>
      </c>
      <c r="C11" s="6">
        <f>C5-C6-C9-C1</f>
        <v>2217137.652</v>
      </c>
    </row>
    <row r="12" ht="24.75" customHeight="1"/>
    <row r="13" ht="24.75" customHeight="1"/>
    <row r="14" ht="24.75" customHeight="1"/>
    <row r="15" ht="24.75" customHeight="1"/>
    <row r="1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  <row r="1001" ht="24.75" customHeight="1"/>
    <row r="1002" ht="24.75" customHeight="1"/>
  </sheetData>
  <drawing r:id="rId1"/>
</worksheet>
</file>